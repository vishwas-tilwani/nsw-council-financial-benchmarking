
<file path=[Content_Types].xml><?xml version="1.0" encoding="utf-8"?>
<Types xmlns="http://schemas.openxmlformats.org/package/2006/content-types">
  <Default Extension="jpg" ContentType="image/jpeg"/>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4.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5.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6.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7.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8.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9.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22"/>
  <workbookPr defaultThemeVersion="202300"/>
  <mc:AlternateContent xmlns:mc="http://schemas.openxmlformats.org/markup-compatibility/2006">
    <mc:Choice Requires="x15">
      <x15ac:absPath xmlns:x15ac="http://schemas.microsoft.com/office/spreadsheetml/2010/11/ac" url="/Users/vishwastilwani/Desktop/"/>
    </mc:Choice>
  </mc:AlternateContent>
  <xr:revisionPtr revIDLastSave="0" documentId="13_ncr:1_{C25553B9-C4EF-7045-B1B0-57355C2C890F}" xr6:coauthVersionLast="47" xr6:coauthVersionMax="47" xr10:uidLastSave="{00000000-0000-0000-0000-000000000000}"/>
  <bookViews>
    <workbookView xWindow="-10440" yWindow="-28180" windowWidth="34120" windowHeight="26620" tabRatio="814" activeTab="3" xr2:uid="{7082A3F9-8DD3-4653-849D-0E011EE44B54}"/>
  </bookViews>
  <sheets>
    <sheet name="Map" sheetId="1" r:id="rId1"/>
    <sheet name="Consolidated data" sheetId="2" state="hidden" r:id="rId2"/>
    <sheet name="City of Sydney" sheetId="4" r:id="rId3"/>
    <sheet name="City of Parramatta" sheetId="3" r:id="rId4"/>
    <sheet name="Hill Shire Council" sheetId="5" r:id="rId5"/>
    <sheet name="Hornsby Council" sheetId="6" r:id="rId6"/>
    <sheet name="North Sydney Council" sheetId="7" r:id="rId7"/>
    <sheet name="Woollahra Council" sheetId="8" r:id="rId8"/>
    <sheet name="Comparitive data (KPIs)" sheetId="9" r:id="rId9"/>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5" i="8" l="1"/>
  <c r="H24" i="8"/>
  <c r="H23" i="8"/>
  <c r="H22" i="8"/>
  <c r="H21" i="8"/>
  <c r="H20" i="8"/>
  <c r="H19" i="8"/>
  <c r="H18" i="8"/>
  <c r="H17" i="8"/>
  <c r="H16" i="8"/>
  <c r="H15" i="8"/>
  <c r="H14" i="8"/>
  <c r="H13" i="8"/>
  <c r="H12" i="8"/>
  <c r="H11" i="8"/>
  <c r="H10" i="8"/>
  <c r="H9" i="8"/>
  <c r="H8" i="8"/>
  <c r="H7" i="8"/>
  <c r="H6" i="8"/>
  <c r="H5" i="8"/>
  <c r="H4" i="8"/>
  <c r="H25" i="7"/>
  <c r="H24" i="7"/>
  <c r="H23" i="7"/>
  <c r="H22" i="7"/>
  <c r="H21" i="7"/>
  <c r="H20" i="7"/>
  <c r="H19" i="7"/>
  <c r="H18" i="7"/>
  <c r="H17" i="7"/>
  <c r="H16" i="7"/>
  <c r="H15" i="7"/>
  <c r="H14" i="7"/>
  <c r="H13" i="7"/>
  <c r="H12" i="7"/>
  <c r="H11" i="7"/>
  <c r="H10" i="7"/>
  <c r="H9" i="7"/>
  <c r="H8" i="7"/>
  <c r="H7" i="7"/>
  <c r="H6" i="7"/>
  <c r="H5" i="7"/>
  <c r="H4" i="7"/>
  <c r="H25" i="6"/>
  <c r="H24" i="6"/>
  <c r="H23" i="6"/>
  <c r="H22" i="6"/>
  <c r="H21" i="6"/>
  <c r="H20" i="6"/>
  <c r="H19" i="6"/>
  <c r="H18" i="6"/>
  <c r="H17" i="6"/>
  <c r="H16" i="6"/>
  <c r="H15" i="6"/>
  <c r="H14" i="6"/>
  <c r="H13" i="6"/>
  <c r="H12" i="6"/>
  <c r="H11" i="6"/>
  <c r="H10" i="6"/>
  <c r="H9" i="6"/>
  <c r="H8" i="6"/>
  <c r="H7" i="6"/>
  <c r="H6" i="6"/>
  <c r="H5" i="6"/>
  <c r="H4" i="6"/>
  <c r="H25" i="5"/>
  <c r="H24" i="5"/>
  <c r="H23" i="5"/>
  <c r="H22" i="5"/>
  <c r="H21" i="5"/>
  <c r="H20" i="5"/>
  <c r="H19" i="5"/>
  <c r="H18" i="5"/>
  <c r="H17" i="5"/>
  <c r="H16" i="5"/>
  <c r="H15" i="5"/>
  <c r="H14" i="5"/>
  <c r="H13" i="5"/>
  <c r="H12" i="5"/>
  <c r="H11" i="5"/>
  <c r="H10" i="5"/>
  <c r="H9" i="5"/>
  <c r="H8" i="5"/>
  <c r="H7" i="5"/>
  <c r="H6" i="5"/>
  <c r="H5" i="5"/>
  <c r="H4" i="5"/>
  <c r="H25" i="3"/>
  <c r="H24" i="3"/>
  <c r="H23" i="3"/>
  <c r="H22" i="3"/>
  <c r="H21" i="3"/>
  <c r="H20" i="3"/>
  <c r="H19" i="3"/>
  <c r="H18" i="3"/>
  <c r="H17" i="3"/>
  <c r="H16" i="3"/>
  <c r="H15" i="3"/>
  <c r="H14" i="3"/>
  <c r="H13" i="3"/>
  <c r="H12" i="3"/>
  <c r="H11" i="3"/>
  <c r="H10" i="3"/>
  <c r="H9" i="3"/>
  <c r="H8" i="3"/>
  <c r="H7" i="3"/>
  <c r="H6" i="3"/>
  <c r="H5" i="3"/>
  <c r="H4" i="3"/>
  <c r="H25" i="4"/>
  <c r="H24" i="4"/>
  <c r="H23" i="4"/>
  <c r="H22" i="4"/>
  <c r="H21" i="4"/>
  <c r="H20" i="4"/>
  <c r="H19" i="4"/>
  <c r="H18" i="4"/>
  <c r="H17" i="4"/>
  <c r="H16" i="4"/>
  <c r="H15" i="4"/>
  <c r="H14" i="4"/>
  <c r="H13" i="4"/>
  <c r="H12" i="4"/>
  <c r="H11" i="4"/>
  <c r="H10" i="4"/>
  <c r="H9" i="4"/>
  <c r="H8" i="4"/>
  <c r="H7" i="4"/>
  <c r="H6" i="4"/>
  <c r="H5" i="4"/>
  <c r="H4" i="4"/>
  <c r="F17" i="9"/>
  <c r="F16" i="9"/>
  <c r="F14" i="9"/>
  <c r="F12" i="9"/>
  <c r="E17" i="9"/>
  <c r="E16" i="9"/>
  <c r="E14" i="9"/>
  <c r="E12" i="9"/>
  <c r="D17" i="9"/>
  <c r="D16" i="9"/>
  <c r="D14" i="9"/>
  <c r="D12" i="9"/>
  <c r="C17" i="9"/>
  <c r="C16" i="9"/>
  <c r="C14" i="9"/>
  <c r="C12" i="9"/>
  <c r="B17" i="9"/>
  <c r="B16" i="9"/>
  <c r="B14" i="9"/>
  <c r="B12" i="9"/>
  <c r="D8" i="9"/>
  <c r="D7" i="9"/>
  <c r="D5" i="9"/>
  <c r="D3" i="9"/>
  <c r="C8" i="9"/>
  <c r="C7" i="9"/>
  <c r="C5" i="9"/>
  <c r="C3" i="9"/>
  <c r="B8" i="9"/>
  <c r="B7" i="9"/>
  <c r="B5" i="9"/>
  <c r="B3" i="9"/>
  <c r="F7" i="9"/>
  <c r="F8" i="9"/>
  <c r="F5" i="9"/>
  <c r="F3" i="9"/>
  <c r="E7" i="9"/>
  <c r="E8" i="9"/>
  <c r="E5" i="9"/>
  <c r="E3" i="9"/>
  <c r="H28" i="4"/>
  <c r="H28" i="5"/>
  <c r="H28" i="7"/>
  <c r="H28" i="8"/>
  <c r="H31" i="8"/>
  <c r="G31" i="8"/>
  <c r="H30" i="8"/>
  <c r="G30" i="8"/>
  <c r="H29" i="8"/>
  <c r="G29" i="8"/>
  <c r="G22" i="8"/>
  <c r="G19" i="8"/>
  <c r="G18" i="8"/>
  <c r="G17" i="8"/>
  <c r="G16" i="8"/>
  <c r="G15" i="8"/>
  <c r="G14" i="8"/>
  <c r="G11" i="8"/>
  <c r="G10" i="8"/>
  <c r="G9" i="8"/>
  <c r="G8" i="8"/>
  <c r="G7" i="8"/>
  <c r="G6" i="8"/>
  <c r="G5" i="8"/>
  <c r="G4" i="8"/>
  <c r="H31" i="7"/>
  <c r="G31" i="7"/>
  <c r="H30" i="7"/>
  <c r="G30" i="7"/>
  <c r="H29" i="7"/>
  <c r="G29" i="7"/>
  <c r="G22" i="7"/>
  <c r="G19" i="7"/>
  <c r="G18" i="7"/>
  <c r="G17" i="7"/>
  <c r="G16" i="7"/>
  <c r="G15" i="7"/>
  <c r="G14" i="7"/>
  <c r="G11" i="7"/>
  <c r="G10" i="7"/>
  <c r="G9" i="7"/>
  <c r="G8" i="7"/>
  <c r="G7" i="7"/>
  <c r="G6" i="7"/>
  <c r="G5" i="7"/>
  <c r="G4" i="7"/>
  <c r="H31" i="5"/>
  <c r="G31" i="5"/>
  <c r="H30" i="5"/>
  <c r="G30" i="5"/>
  <c r="H29" i="5"/>
  <c r="G29" i="5"/>
  <c r="G22" i="5"/>
  <c r="G19" i="5"/>
  <c r="G18" i="5"/>
  <c r="G17" i="5"/>
  <c r="G16" i="5"/>
  <c r="G15" i="5"/>
  <c r="G14" i="5"/>
  <c r="G11" i="5"/>
  <c r="G10" i="5"/>
  <c r="G9" i="5"/>
  <c r="G8" i="5"/>
  <c r="G7" i="5"/>
  <c r="G6" i="5"/>
  <c r="G5" i="5"/>
  <c r="G4" i="5"/>
  <c r="G22" i="3"/>
  <c r="G19" i="3"/>
  <c r="G18" i="3"/>
  <c r="G17" i="3"/>
  <c r="G16" i="3"/>
  <c r="G15" i="3"/>
  <c r="G14" i="3"/>
  <c r="G11" i="3"/>
  <c r="G10" i="3"/>
  <c r="G9" i="3"/>
  <c r="G8" i="3"/>
  <c r="G7" i="3"/>
  <c r="G6" i="3"/>
  <c r="G5" i="3"/>
  <c r="G4" i="3"/>
  <c r="H31" i="4"/>
  <c r="G31" i="4"/>
  <c r="H30" i="4"/>
  <c r="G30" i="4"/>
  <c r="H29" i="4"/>
  <c r="G29" i="4"/>
  <c r="G22" i="4"/>
  <c r="G19" i="4"/>
  <c r="G18" i="4"/>
  <c r="G17" i="4"/>
  <c r="G16" i="4"/>
  <c r="G15" i="4"/>
  <c r="G14" i="4"/>
  <c r="G11" i="4"/>
  <c r="G10" i="4"/>
  <c r="G9" i="4"/>
  <c r="G8" i="4"/>
  <c r="G7" i="4"/>
  <c r="G6" i="4"/>
  <c r="G5" i="4"/>
  <c r="G4" i="4"/>
  <c r="L33" i="2"/>
  <c r="M33" i="2"/>
  <c r="N33" i="2"/>
  <c r="P33" i="2"/>
  <c r="Q33" i="2"/>
  <c r="AD45" i="2"/>
  <c r="AC45" i="2"/>
  <c r="AB45" i="2"/>
  <c r="AD44" i="2"/>
  <c r="AC44" i="2"/>
  <c r="AB44" i="2"/>
  <c r="AD43" i="2"/>
  <c r="AC43" i="2"/>
  <c r="AB43" i="2"/>
  <c r="AD42" i="2"/>
  <c r="AC42" i="2"/>
  <c r="AB42" i="2"/>
  <c r="AD41" i="2"/>
  <c r="AC41" i="2"/>
  <c r="AB41" i="2"/>
  <c r="AD40" i="2"/>
  <c r="AC40" i="2"/>
  <c r="AB40" i="2"/>
  <c r="Z45" i="2"/>
  <c r="Y45" i="2"/>
  <c r="X45" i="2"/>
  <c r="Z44" i="2"/>
  <c r="Y44" i="2"/>
  <c r="X44" i="2"/>
  <c r="Z43" i="2"/>
  <c r="Y43" i="2"/>
  <c r="X43" i="2"/>
  <c r="Z42" i="2"/>
  <c r="Y42" i="2"/>
  <c r="X42" i="2"/>
  <c r="Z41" i="2"/>
  <c r="Y41" i="2"/>
  <c r="X41" i="2"/>
  <c r="Z40" i="2"/>
  <c r="Y40" i="2"/>
  <c r="X40" i="2"/>
  <c r="V45" i="2"/>
  <c r="U45" i="2"/>
  <c r="T45" i="2"/>
  <c r="V44" i="2"/>
  <c r="U44" i="2"/>
  <c r="T44" i="2"/>
  <c r="V43" i="2"/>
  <c r="U43" i="2"/>
  <c r="T43" i="2"/>
  <c r="V42" i="2"/>
  <c r="U42" i="2"/>
  <c r="T42" i="2"/>
  <c r="V41" i="2"/>
  <c r="U41" i="2"/>
  <c r="T41" i="2"/>
  <c r="V40" i="2"/>
  <c r="U40" i="2"/>
  <c r="T40" i="2"/>
  <c r="R45" i="2"/>
  <c r="Q45" i="2"/>
  <c r="P45" i="2"/>
  <c r="R44" i="2"/>
  <c r="Q44" i="2"/>
  <c r="P44" i="2"/>
  <c r="R43" i="2"/>
  <c r="Q43" i="2"/>
  <c r="P43" i="2"/>
  <c r="R42" i="2"/>
  <c r="Q42" i="2"/>
  <c r="P42" i="2"/>
  <c r="R41" i="2"/>
  <c r="Q41" i="2"/>
  <c r="P41" i="2"/>
  <c r="R40" i="2"/>
  <c r="Q40" i="2"/>
  <c r="P40" i="2"/>
  <c r="N45" i="2"/>
  <c r="M45" i="2"/>
  <c r="L45" i="2"/>
  <c r="N44" i="2"/>
  <c r="M44" i="2"/>
  <c r="L44" i="2"/>
  <c r="N43" i="2"/>
  <c r="M43" i="2"/>
  <c r="L43" i="2"/>
  <c r="N42" i="2"/>
  <c r="M42" i="2"/>
  <c r="L42" i="2"/>
  <c r="N41" i="2"/>
  <c r="M41" i="2"/>
  <c r="L41" i="2"/>
  <c r="N40" i="2"/>
  <c r="M40" i="2"/>
  <c r="L40" i="2"/>
  <c r="F40" i="8"/>
  <c r="E40" i="8"/>
  <c r="D40" i="8"/>
  <c r="F39" i="8"/>
  <c r="E39" i="8"/>
  <c r="D39" i="8"/>
  <c r="F38" i="8"/>
  <c r="E38" i="8"/>
  <c r="D38" i="8"/>
  <c r="F37" i="8"/>
  <c r="F41" i="8" s="1"/>
  <c r="E37" i="8"/>
  <c r="D37" i="8"/>
  <c r="F36" i="8"/>
  <c r="E36" i="8"/>
  <c r="D36" i="8"/>
  <c r="D41" i="8" s="1"/>
  <c r="F35" i="8"/>
  <c r="E35" i="8"/>
  <c r="D35" i="8"/>
  <c r="F40" i="7"/>
  <c r="E40" i="7"/>
  <c r="D40" i="7"/>
  <c r="F39" i="7"/>
  <c r="E39" i="7"/>
  <c r="D39" i="7"/>
  <c r="F38" i="7"/>
  <c r="E38" i="7"/>
  <c r="D38" i="7"/>
  <c r="F37" i="7"/>
  <c r="E37" i="7"/>
  <c r="E41" i="7" s="1"/>
  <c r="D37" i="7"/>
  <c r="D41" i="7" s="1"/>
  <c r="F36" i="7"/>
  <c r="E36" i="7"/>
  <c r="D36" i="7"/>
  <c r="F35" i="7"/>
  <c r="E35" i="7"/>
  <c r="D35" i="7"/>
  <c r="F40" i="5"/>
  <c r="E40" i="5"/>
  <c r="D40" i="5"/>
  <c r="F39" i="5"/>
  <c r="E39" i="5"/>
  <c r="D39" i="5"/>
  <c r="F38" i="5"/>
  <c r="E38" i="5"/>
  <c r="D38" i="5"/>
  <c r="F37" i="5"/>
  <c r="E37" i="5"/>
  <c r="D37" i="5"/>
  <c r="F36" i="5"/>
  <c r="F41" i="5" s="1"/>
  <c r="E36" i="5"/>
  <c r="E41" i="5" s="1"/>
  <c r="D36" i="5"/>
  <c r="F35" i="5"/>
  <c r="E35" i="5"/>
  <c r="D35" i="5"/>
  <c r="F35" i="3"/>
  <c r="E35" i="3"/>
  <c r="D35" i="3"/>
  <c r="F40" i="4"/>
  <c r="E40" i="4"/>
  <c r="D40" i="4"/>
  <c r="F39" i="4"/>
  <c r="E39" i="4"/>
  <c r="D39" i="4"/>
  <c r="F38" i="4"/>
  <c r="E38" i="4"/>
  <c r="D38" i="4"/>
  <c r="F37" i="4"/>
  <c r="E37" i="4"/>
  <c r="D37" i="4"/>
  <c r="F36" i="4"/>
  <c r="E36" i="4"/>
  <c r="D36" i="4"/>
  <c r="F35" i="4"/>
  <c r="E35" i="4"/>
  <c r="D35" i="4"/>
  <c r="F35" i="6"/>
  <c r="E35" i="6"/>
  <c r="D35" i="6"/>
  <c r="F31" i="6"/>
  <c r="F40" i="6" s="1"/>
  <c r="E31" i="6"/>
  <c r="D6" i="9" s="1"/>
  <c r="D31" i="6"/>
  <c r="D40" i="6" s="1"/>
  <c r="G22" i="6"/>
  <c r="F20" i="6"/>
  <c r="F37" i="6" s="1"/>
  <c r="E20" i="6"/>
  <c r="D20" i="6"/>
  <c r="D37" i="6" s="1"/>
  <c r="G19" i="6"/>
  <c r="G18" i="6"/>
  <c r="G17" i="6"/>
  <c r="G16" i="6"/>
  <c r="G15" i="6"/>
  <c r="G14" i="6"/>
  <c r="F13" i="6"/>
  <c r="F28" i="6" s="1"/>
  <c r="E13" i="6"/>
  <c r="E6" i="9" s="1"/>
  <c r="D13" i="6"/>
  <c r="D28" i="6" s="1"/>
  <c r="G11" i="6"/>
  <c r="G10" i="6"/>
  <c r="G9" i="6"/>
  <c r="G8" i="6"/>
  <c r="G7" i="6"/>
  <c r="G6" i="6"/>
  <c r="G5" i="6"/>
  <c r="G4" i="6"/>
  <c r="F31" i="3"/>
  <c r="F40" i="3" s="1"/>
  <c r="E31" i="3"/>
  <c r="D4" i="9" s="1"/>
  <c r="D31" i="3"/>
  <c r="D40" i="3" s="1"/>
  <c r="F20" i="3"/>
  <c r="F37" i="3" s="1"/>
  <c r="E20" i="3"/>
  <c r="E37" i="3" s="1"/>
  <c r="D20" i="3"/>
  <c r="D37" i="3" s="1"/>
  <c r="F13" i="3"/>
  <c r="E13" i="9" s="1"/>
  <c r="E13" i="3"/>
  <c r="E4" i="9" s="1"/>
  <c r="D13" i="3"/>
  <c r="J33" i="2"/>
  <c r="I33" i="2"/>
  <c r="G33" i="2"/>
  <c r="F33" i="2"/>
  <c r="E33" i="2"/>
  <c r="AD33" i="2"/>
  <c r="AC33" i="2"/>
  <c r="AB33" i="2"/>
  <c r="Z33" i="2"/>
  <c r="Y33" i="2"/>
  <c r="X33" i="2"/>
  <c r="V33" i="2"/>
  <c r="U33" i="2"/>
  <c r="T33" i="2"/>
  <c r="R33" i="2"/>
  <c r="G40" i="2"/>
  <c r="F40" i="2"/>
  <c r="E40" i="2"/>
  <c r="E41" i="8" l="1"/>
  <c r="F41" i="7"/>
  <c r="D41" i="5"/>
  <c r="E15" i="9"/>
  <c r="D13" i="9"/>
  <c r="D15" i="9"/>
  <c r="D41" i="4"/>
  <c r="F41" i="4"/>
  <c r="E41" i="4"/>
  <c r="E21" i="3"/>
  <c r="E23" i="3" s="1"/>
  <c r="F4" i="9" s="1"/>
  <c r="G13" i="8"/>
  <c r="G20" i="8"/>
  <c r="G21" i="8" s="1"/>
  <c r="G23" i="8" s="1"/>
  <c r="G24" i="8" s="1"/>
  <c r="G13" i="7"/>
  <c r="G20" i="7"/>
  <c r="G31" i="6"/>
  <c r="H31" i="3"/>
  <c r="F21" i="3"/>
  <c r="F23" i="3" s="1"/>
  <c r="E40" i="3"/>
  <c r="G13" i="4"/>
  <c r="G20" i="4"/>
  <c r="G21" i="4" s="1"/>
  <c r="G23" i="4" s="1"/>
  <c r="G24" i="4" s="1"/>
  <c r="E36" i="3"/>
  <c r="E41" i="3" s="1"/>
  <c r="G31" i="3"/>
  <c r="G20" i="3"/>
  <c r="G13" i="3"/>
  <c r="G20" i="5"/>
  <c r="G13" i="5"/>
  <c r="G21" i="5" s="1"/>
  <c r="G23" i="5" s="1"/>
  <c r="G24" i="5" s="1"/>
  <c r="G13" i="6"/>
  <c r="G21" i="6" s="1"/>
  <c r="G23" i="6" s="1"/>
  <c r="G24" i="6" s="1"/>
  <c r="G25" i="6" s="1"/>
  <c r="G20" i="6"/>
  <c r="E37" i="6"/>
  <c r="H31" i="6"/>
  <c r="D21" i="6"/>
  <c r="D23" i="6" s="1"/>
  <c r="E21" i="6"/>
  <c r="F21" i="6"/>
  <c r="F23" i="6" s="1"/>
  <c r="F15" i="9" s="1"/>
  <c r="E40" i="6"/>
  <c r="E28" i="6"/>
  <c r="D21" i="3"/>
  <c r="D23" i="3" s="1"/>
  <c r="D36" i="3" s="1"/>
  <c r="D41" i="3" s="1"/>
  <c r="J22" i="2"/>
  <c r="J19" i="2"/>
  <c r="J18" i="2"/>
  <c r="J17" i="2"/>
  <c r="J16" i="2"/>
  <c r="J15" i="2"/>
  <c r="J14" i="2"/>
  <c r="J12" i="2"/>
  <c r="J11" i="2"/>
  <c r="J10" i="2"/>
  <c r="J9" i="2"/>
  <c r="J8" i="2"/>
  <c r="J7" i="2"/>
  <c r="J6" i="2"/>
  <c r="J5" i="2"/>
  <c r="J4" i="2"/>
  <c r="I22" i="2"/>
  <c r="I19" i="2"/>
  <c r="I18" i="2"/>
  <c r="I17" i="2"/>
  <c r="I16" i="2"/>
  <c r="I15" i="2"/>
  <c r="I14" i="2"/>
  <c r="I11" i="2"/>
  <c r="I10" i="2"/>
  <c r="I9" i="2"/>
  <c r="I8" i="2"/>
  <c r="I7" i="2"/>
  <c r="I6" i="2"/>
  <c r="I5" i="2"/>
  <c r="I4" i="2"/>
  <c r="AD36" i="2"/>
  <c r="AC36" i="2"/>
  <c r="AB36" i="2"/>
  <c r="Z36" i="2"/>
  <c r="Y36" i="2"/>
  <c r="X36" i="2"/>
  <c r="V36" i="2"/>
  <c r="U36" i="2"/>
  <c r="T36" i="2"/>
  <c r="R36" i="2"/>
  <c r="Q36" i="2"/>
  <c r="P36" i="2"/>
  <c r="N36" i="2"/>
  <c r="M36" i="2"/>
  <c r="L36" i="2"/>
  <c r="G36" i="2"/>
  <c r="G45" i="2" s="1"/>
  <c r="F36" i="2"/>
  <c r="F45" i="2" s="1"/>
  <c r="E36" i="2"/>
  <c r="E45" i="2" s="1"/>
  <c r="AD13" i="2"/>
  <c r="AC13" i="2"/>
  <c r="AB13" i="2"/>
  <c r="Z13" i="2"/>
  <c r="Y13" i="2"/>
  <c r="X13" i="2"/>
  <c r="V13" i="2"/>
  <c r="U13" i="2"/>
  <c r="T13" i="2"/>
  <c r="R13" i="2"/>
  <c r="Q13" i="2"/>
  <c r="P13" i="2"/>
  <c r="N13" i="2"/>
  <c r="M13" i="2"/>
  <c r="L13" i="2"/>
  <c r="G13" i="2"/>
  <c r="F13" i="2"/>
  <c r="E13" i="2"/>
  <c r="AD20" i="2"/>
  <c r="AC20" i="2"/>
  <c r="AB20" i="2"/>
  <c r="Z20" i="2"/>
  <c r="Y20" i="2"/>
  <c r="X20" i="2"/>
  <c r="V20" i="2"/>
  <c r="U20" i="2"/>
  <c r="T20" i="2"/>
  <c r="R20" i="2"/>
  <c r="Q20" i="2"/>
  <c r="P20" i="2"/>
  <c r="N20" i="2"/>
  <c r="M20" i="2"/>
  <c r="L20" i="2"/>
  <c r="G20" i="2"/>
  <c r="G42" i="2" s="1"/>
  <c r="F20" i="2"/>
  <c r="E20" i="2"/>
  <c r="E42" i="2" s="1"/>
  <c r="E24" i="3" l="1"/>
  <c r="F36" i="3"/>
  <c r="F41" i="3" s="1"/>
  <c r="F13" i="9"/>
  <c r="G21" i="3"/>
  <c r="G23" i="3" s="1"/>
  <c r="G24" i="3" s="1"/>
  <c r="G25" i="3" s="1"/>
  <c r="G21" i="7"/>
  <c r="G23" i="7" s="1"/>
  <c r="G24" i="7" s="1"/>
  <c r="G25" i="7" s="1"/>
  <c r="E29" i="3"/>
  <c r="B4" i="9" s="1"/>
  <c r="F24" i="3"/>
  <c r="F25" i="3" s="1"/>
  <c r="F30" i="3" s="1"/>
  <c r="F29" i="3"/>
  <c r="G25" i="8"/>
  <c r="G28" i="8" s="1"/>
  <c r="D29" i="3"/>
  <c r="D38" i="3" s="1"/>
  <c r="D24" i="3"/>
  <c r="D25" i="3" s="1"/>
  <c r="D30" i="3" s="1"/>
  <c r="D39" i="3" s="1"/>
  <c r="G25" i="4"/>
  <c r="G28" i="4" s="1"/>
  <c r="E25" i="3"/>
  <c r="G25" i="5"/>
  <c r="G28" i="5" s="1"/>
  <c r="H28" i="6"/>
  <c r="G28" i="6"/>
  <c r="E23" i="6"/>
  <c r="F6" i="9" s="1"/>
  <c r="D36" i="6"/>
  <c r="D41" i="6" s="1"/>
  <c r="D29" i="6"/>
  <c r="D38" i="6" s="1"/>
  <c r="D24" i="6"/>
  <c r="D25" i="6" s="1"/>
  <c r="D30" i="6" s="1"/>
  <c r="D39" i="6" s="1"/>
  <c r="F36" i="6"/>
  <c r="F41" i="6" s="1"/>
  <c r="F24" i="6"/>
  <c r="F25" i="6" s="1"/>
  <c r="F30" i="6" s="1"/>
  <c r="F29" i="6"/>
  <c r="J20" i="2"/>
  <c r="F42" i="2"/>
  <c r="J36" i="2"/>
  <c r="I36" i="2"/>
  <c r="J13" i="2"/>
  <c r="I20" i="2"/>
  <c r="I13" i="2"/>
  <c r="I21" i="2" s="1"/>
  <c r="I23" i="2" s="1"/>
  <c r="I24" i="2" s="1"/>
  <c r="I25" i="2" s="1"/>
  <c r="AD21" i="2"/>
  <c r="AD23" i="2" s="1"/>
  <c r="AC21" i="2"/>
  <c r="AC23" i="2" s="1"/>
  <c r="AB21" i="2"/>
  <c r="AB23" i="2" s="1"/>
  <c r="Z21" i="2"/>
  <c r="Z23" i="2" s="1"/>
  <c r="V21" i="2"/>
  <c r="V23" i="2" s="1"/>
  <c r="X21" i="2"/>
  <c r="X23" i="2" s="1"/>
  <c r="Y21" i="2"/>
  <c r="Y23" i="2" s="1"/>
  <c r="N21" i="2"/>
  <c r="N23" i="2" s="1"/>
  <c r="G21" i="2"/>
  <c r="G23" i="2" s="1"/>
  <c r="G41" i="2" s="1"/>
  <c r="E21" i="2"/>
  <c r="E23" i="2" s="1"/>
  <c r="E41" i="2" s="1"/>
  <c r="Q21" i="2"/>
  <c r="Q23" i="2" s="1"/>
  <c r="L21" i="2"/>
  <c r="L23" i="2" s="1"/>
  <c r="F21" i="2"/>
  <c r="R21" i="2"/>
  <c r="R23" i="2" s="1"/>
  <c r="P21" i="2"/>
  <c r="P23" i="2" s="1"/>
  <c r="M21" i="2"/>
  <c r="M23" i="2" s="1"/>
  <c r="U21" i="2"/>
  <c r="U23" i="2" s="1"/>
  <c r="T21" i="2"/>
  <c r="T23" i="2" s="1"/>
  <c r="H29" i="3" l="1"/>
  <c r="E38" i="3"/>
  <c r="F39" i="3"/>
  <c r="C13" i="9"/>
  <c r="F38" i="3"/>
  <c r="B13" i="9"/>
  <c r="G28" i="7"/>
  <c r="F38" i="6"/>
  <c r="B15" i="9"/>
  <c r="F39" i="6"/>
  <c r="C15" i="9"/>
  <c r="G29" i="3"/>
  <c r="E30" i="3"/>
  <c r="C4" i="9" s="1"/>
  <c r="E29" i="6"/>
  <c r="B6" i="9" s="1"/>
  <c r="E36" i="6"/>
  <c r="E41" i="6" s="1"/>
  <c r="E24" i="6"/>
  <c r="F23" i="2"/>
  <c r="J21" i="2"/>
  <c r="N24" i="2"/>
  <c r="N25" i="2" s="1"/>
  <c r="N35" i="2" s="1"/>
  <c r="N34" i="2"/>
  <c r="U24" i="2"/>
  <c r="U25" i="2" s="1"/>
  <c r="U35" i="2" s="1"/>
  <c r="U34" i="2"/>
  <c r="V24" i="2"/>
  <c r="V25" i="2" s="1"/>
  <c r="V35" i="2" s="1"/>
  <c r="V34" i="2"/>
  <c r="M24" i="2"/>
  <c r="M25" i="2" s="1"/>
  <c r="M35" i="2" s="1"/>
  <c r="M34" i="2"/>
  <c r="Z24" i="2"/>
  <c r="Z25" i="2" s="1"/>
  <c r="Z35" i="2" s="1"/>
  <c r="Z34" i="2"/>
  <c r="AB24" i="2"/>
  <c r="AB25" i="2" s="1"/>
  <c r="AB35" i="2" s="1"/>
  <c r="AB34" i="2"/>
  <c r="T24" i="2"/>
  <c r="T25" i="2" s="1"/>
  <c r="T35" i="2" s="1"/>
  <c r="T34" i="2"/>
  <c r="P24" i="2"/>
  <c r="P25" i="2" s="1"/>
  <c r="P35" i="2" s="1"/>
  <c r="P34" i="2"/>
  <c r="R24" i="2"/>
  <c r="R25" i="2" s="1"/>
  <c r="R35" i="2" s="1"/>
  <c r="R34" i="2"/>
  <c r="AC24" i="2"/>
  <c r="AC25" i="2" s="1"/>
  <c r="AC35" i="2" s="1"/>
  <c r="AC34" i="2"/>
  <c r="X24" i="2"/>
  <c r="X25" i="2" s="1"/>
  <c r="X35" i="2" s="1"/>
  <c r="X34" i="2"/>
  <c r="L24" i="2"/>
  <c r="L25" i="2" s="1"/>
  <c r="L35" i="2" s="1"/>
  <c r="L34" i="2"/>
  <c r="Q24" i="2"/>
  <c r="Q25" i="2" s="1"/>
  <c r="Q35" i="2" s="1"/>
  <c r="Q34" i="2"/>
  <c r="Y24" i="2"/>
  <c r="Y25" i="2" s="1"/>
  <c r="Y35" i="2" s="1"/>
  <c r="Y34" i="2"/>
  <c r="AD24" i="2"/>
  <c r="AD25" i="2" s="1"/>
  <c r="AD35" i="2" s="1"/>
  <c r="AD34" i="2"/>
  <c r="E24" i="2"/>
  <c r="E25" i="2" s="1"/>
  <c r="E35" i="2" s="1"/>
  <c r="E44" i="2" s="1"/>
  <c r="E34" i="2"/>
  <c r="E43" i="2" s="1"/>
  <c r="F24" i="2"/>
  <c r="F34" i="2"/>
  <c r="G24" i="2"/>
  <c r="G25" i="2" s="1"/>
  <c r="G35" i="2" s="1"/>
  <c r="G44" i="2" s="1"/>
  <c r="G34" i="2"/>
  <c r="G43" i="2" s="1"/>
  <c r="E39" i="3" l="1"/>
  <c r="G30" i="3"/>
  <c r="H30" i="3"/>
  <c r="E25" i="6"/>
  <c r="E38" i="6"/>
  <c r="H29" i="6"/>
  <c r="G29" i="6"/>
  <c r="F43" i="2"/>
  <c r="J34" i="2"/>
  <c r="J23" i="2"/>
  <c r="F41" i="2"/>
  <c r="I34" i="2"/>
  <c r="F25" i="2"/>
  <c r="J24" i="2"/>
  <c r="E30" i="6" l="1"/>
  <c r="C6" i="9" s="1"/>
  <c r="F35" i="2"/>
  <c r="J25" i="2"/>
  <c r="E39" i="6" l="1"/>
  <c r="H30" i="6"/>
  <c r="G30" i="6"/>
  <c r="F44" i="2"/>
  <c r="J35" i="2"/>
  <c r="I35"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67F17F0-D396-4065-9D6B-C9C26F3DD37E}" keepAlive="1" name="Query - Table004 (Page 6)" description="Connection to the 'Table004 (Page 6)' query in the workbook." type="5" refreshedVersion="8" background="1" saveData="1">
    <dbPr connection="Provider=Microsoft.Mashup.OleDb.1;Data Source=$Workbook$;Location=&quot;Table004 (Page 6)&quot;;Extended Properties=&quot;&quot;" command="SELECT * FROM [Table004 (Page 6)]"/>
  </connection>
</connections>
</file>

<file path=xl/sharedStrings.xml><?xml version="1.0" encoding="utf-8"?>
<sst xmlns="http://schemas.openxmlformats.org/spreadsheetml/2006/main" count="499" uniqueCount="69">
  <si>
    <t>Rates and annual charges</t>
  </si>
  <si>
    <t>User charges and fees</t>
  </si>
  <si>
    <t>Other revenues</t>
  </si>
  <si>
    <t>Grants and contributions provided for operating purposes</t>
  </si>
  <si>
    <t>Grants and contributions provided for capital purposes</t>
  </si>
  <si>
    <t>Interest and investment income</t>
  </si>
  <si>
    <t>Other income</t>
  </si>
  <si>
    <t>Total income from continuing operations</t>
  </si>
  <si>
    <t>Employee benefits and on-costs</t>
  </si>
  <si>
    <t>Materials and services</t>
  </si>
  <si>
    <t>Borrowing costs</t>
  </si>
  <si>
    <t>Other expenses</t>
  </si>
  <si>
    <t>Net loss from the disposal of assets</t>
  </si>
  <si>
    <t>Depreciation, amortisation and impairment of non-financial
assets</t>
  </si>
  <si>
    <t>Operating result from continuing operations</t>
  </si>
  <si>
    <t>Net operating result for the year attributable to Council</t>
  </si>
  <si>
    <t>Actual FY 25</t>
  </si>
  <si>
    <t>Actual FY 24</t>
  </si>
  <si>
    <t>Budget FY 25</t>
  </si>
  <si>
    <t>Accounts</t>
  </si>
  <si>
    <t>Operating result from continuing operations excluding depreciation, amortisation and impairment of non-financial assets</t>
  </si>
  <si>
    <t>Total expenses from continuing operations excluding depreciation, amortisation and impairment of non-financial Assets</t>
  </si>
  <si>
    <t>Net operating result for the year before grants and contributions
provided for capital purposes</t>
  </si>
  <si>
    <t>Hornsby Shire Council</t>
  </si>
  <si>
    <t>North Sydney Council</t>
  </si>
  <si>
    <t>Net share of interests in joint ventures and associates
using the equity method</t>
  </si>
  <si>
    <t>Woollahra Municipal Council</t>
  </si>
  <si>
    <t>Fair Value increment / (Decrement) on Investment Properties</t>
  </si>
  <si>
    <t>City of Sydney</t>
  </si>
  <si>
    <t>Net Gain from disposal of Assets</t>
  </si>
  <si>
    <t>City of Parramatta Council</t>
  </si>
  <si>
    <t>The Hills Shire Council</t>
  </si>
  <si>
    <t>vs Budget</t>
  </si>
  <si>
    <t>YoY</t>
  </si>
  <si>
    <t>KPI</t>
  </si>
  <si>
    <t>Account Category</t>
  </si>
  <si>
    <t>Direct Income</t>
  </si>
  <si>
    <t>Other Income</t>
  </si>
  <si>
    <t>Total Income</t>
  </si>
  <si>
    <t>Other Expenses</t>
  </si>
  <si>
    <t>Total Expenses</t>
  </si>
  <si>
    <t>Direct Expenses</t>
  </si>
  <si>
    <t>Operating Result Excl Dep</t>
  </si>
  <si>
    <t>Depreciation</t>
  </si>
  <si>
    <t>Operating Result from Operations</t>
  </si>
  <si>
    <t>Operating Result from Operation before Govt Grants</t>
  </si>
  <si>
    <t>Direct Result from Operations % over Direct Revenue</t>
  </si>
  <si>
    <t>NP % over Total Revenue</t>
  </si>
  <si>
    <t>NP before Govt Grant % over Total Revenue</t>
  </si>
  <si>
    <t>Total Rev</t>
  </si>
  <si>
    <t>Profit</t>
  </si>
  <si>
    <t>Expense</t>
  </si>
  <si>
    <t>Graph Data</t>
  </si>
  <si>
    <t>Operating Result</t>
  </si>
  <si>
    <t>vs YoY</t>
  </si>
  <si>
    <t>Revenue</t>
  </si>
  <si>
    <t xml:space="preserve">Revenue </t>
  </si>
  <si>
    <t xml:space="preserve">City of Sydney </t>
  </si>
  <si>
    <t xml:space="preserve">City of Parramatta </t>
  </si>
  <si>
    <t xml:space="preserve">Hill Shire Council </t>
  </si>
  <si>
    <t xml:space="preserve">Hornsby Council </t>
  </si>
  <si>
    <t xml:space="preserve">North Sydney Council </t>
  </si>
  <si>
    <t xml:space="preserve">Woollahra Council </t>
  </si>
  <si>
    <t xml:space="preserve">Note - Please interact with the map. On clicking the different suburbs, you get redirected to the individual data table and visualisation for the Suburb. There is a separate button for the Comparitive Data (KPI) to view a comparison between all 6 councils. </t>
  </si>
  <si>
    <t xml:space="preserve">Total Revenue </t>
  </si>
  <si>
    <t>Revenue (000)</t>
  </si>
  <si>
    <t>Operating Result (000)</t>
  </si>
  <si>
    <t xml:space="preserve">Actual 2025 </t>
  </si>
  <si>
    <t>Actual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</si>
</sst>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 #,##0.00_ ;_ * \-#,##0.00_ ;_ * &quot;-&quot;??_ ;_ @_ "/>
    <numFmt numFmtId="165" formatCode="_ * #,##0_ ;_ * \-#,##0_ ;_ * &quot;-&quot;??_ ;_ @_ "/>
  </numFmts>
  <fonts count="13" x14ac:knownFonts="1">
    <font>
      <sz val="11"/>
      <color theme="1"/>
      <name val="Aptos Narrow"/>
      <family val="2"/>
      <scheme val="minor"/>
    </font>
    <font>
      <sz val="12"/>
      <color theme="1"/>
      <name val="Aptos Narrow"/>
      <family val="2"/>
      <scheme val="minor"/>
    </font>
    <font>
      <sz val="11"/>
      <color theme="1"/>
      <name val="Aptos Narrow"/>
      <family val="2"/>
      <scheme val="minor"/>
    </font>
    <font>
      <b/>
      <sz val="11"/>
      <color theme="0"/>
      <name val="Aptos Narrow"/>
      <family val="2"/>
      <scheme val="minor"/>
    </font>
    <font>
      <b/>
      <sz val="11"/>
      <color theme="1"/>
      <name val="Aptos Narrow"/>
      <family val="2"/>
      <scheme val="minor"/>
    </font>
    <font>
      <sz val="11"/>
      <color theme="0"/>
      <name val="Aptos Narrow"/>
      <family val="2"/>
      <scheme val="minor"/>
    </font>
    <font>
      <sz val="8"/>
      <name val="Aptos Narrow"/>
      <family val="2"/>
      <scheme val="minor"/>
    </font>
    <font>
      <b/>
      <sz val="11"/>
      <color rgb="FFFF0000"/>
      <name val="Aptos Narrow"/>
      <family val="2"/>
      <scheme val="minor"/>
    </font>
    <font>
      <b/>
      <sz val="16"/>
      <color theme="0"/>
      <name val="Aptos Narrow"/>
      <family val="2"/>
      <scheme val="minor"/>
    </font>
    <font>
      <sz val="18"/>
      <color theme="1"/>
      <name val="Aptos Narrow"/>
      <family val="2"/>
      <scheme val="minor"/>
    </font>
    <font>
      <b/>
      <sz val="12"/>
      <color theme="0"/>
      <name val="Aptos Narrow"/>
      <family val="2"/>
      <scheme val="minor"/>
    </font>
    <font>
      <b/>
      <sz val="12"/>
      <color theme="1"/>
      <name val="Aptos Narrow"/>
      <family val="2"/>
      <scheme val="minor"/>
    </font>
    <font>
      <sz val="11"/>
      <color theme="0" tint="-0.14999847407452621"/>
      <name val="Aptos Narrow"/>
      <family val="2"/>
      <scheme val="minor"/>
    </font>
  </fonts>
  <fills count="15">
    <fill>
      <patternFill patternType="none"/>
    </fill>
    <fill>
      <patternFill patternType="gray125"/>
    </fill>
    <fill>
      <patternFill patternType="solid">
        <fgColor theme="9"/>
        <bgColor theme="9"/>
      </patternFill>
    </fill>
    <fill>
      <patternFill patternType="solid">
        <fgColor theme="9" tint="0.79998168889431442"/>
        <bgColor theme="9" tint="0.79998168889431442"/>
      </patternFill>
    </fill>
    <fill>
      <patternFill patternType="solid">
        <fgColor rgb="FFFFFF00"/>
        <bgColor indexed="64"/>
      </patternFill>
    </fill>
    <fill>
      <patternFill patternType="solid">
        <fgColor rgb="FFFFFF00"/>
        <bgColor theme="9" tint="0.79998168889431442"/>
      </patternFill>
    </fill>
    <fill>
      <patternFill patternType="solid">
        <fgColor rgb="FF0070C0"/>
        <bgColor indexed="64"/>
      </patternFill>
    </fill>
    <fill>
      <patternFill patternType="solid">
        <fgColor rgb="FF002060"/>
        <bgColor indexed="64"/>
      </patternFill>
    </fill>
    <fill>
      <patternFill patternType="solid">
        <fgColor rgb="FF002060"/>
        <bgColor theme="9"/>
      </patternFill>
    </fill>
    <fill>
      <patternFill patternType="solid">
        <fgColor theme="5" tint="0.79998168889431442"/>
        <bgColor indexed="64"/>
      </patternFill>
    </fill>
    <fill>
      <patternFill patternType="solid">
        <fgColor theme="5" tint="0.79998168889431442"/>
        <bgColor theme="9"/>
      </patternFill>
    </fill>
    <fill>
      <patternFill patternType="solid">
        <fgColor theme="5" tint="-0.249977111117893"/>
        <bgColor theme="9"/>
      </patternFill>
    </fill>
    <fill>
      <patternFill patternType="solid">
        <fgColor theme="9" tint="-0.249977111117893"/>
        <bgColor theme="9"/>
      </patternFill>
    </fill>
    <fill>
      <patternFill patternType="solid">
        <fgColor rgb="FF92D050"/>
        <bgColor indexed="64"/>
      </patternFill>
    </fill>
    <fill>
      <patternFill patternType="solid">
        <fgColor theme="9" tint="-0.249977111117893"/>
        <bgColor indexed="64"/>
      </patternFill>
    </fill>
  </fills>
  <borders count="9">
    <border>
      <left/>
      <right/>
      <top/>
      <bottom/>
      <diagonal/>
    </border>
    <border>
      <left style="thin">
        <color theme="9" tint="0.39997558519241921"/>
      </left>
      <right/>
      <top style="thin">
        <color theme="9" tint="0.39997558519241921"/>
      </top>
      <bottom style="thin">
        <color theme="9" tint="0.39997558519241921"/>
      </bottom>
      <diagonal/>
    </border>
    <border>
      <left/>
      <right/>
      <top style="thin">
        <color theme="9" tint="0.39997558519241921"/>
      </top>
      <bottom style="thin">
        <color theme="9" tint="0.39997558519241921"/>
      </bottom>
      <diagonal/>
    </border>
    <border>
      <left style="thin">
        <color theme="9" tint="0.39997558519241921"/>
      </left>
      <right/>
      <top style="thin">
        <color theme="9" tint="0.39997558519241921"/>
      </top>
      <bottom/>
      <diagonal/>
    </border>
    <border>
      <left/>
      <right/>
      <top style="thin">
        <color theme="9" tint="0.39997558519241921"/>
      </top>
      <bottom/>
      <diagonal/>
    </border>
    <border>
      <left/>
      <right style="thin">
        <color theme="9" tint="0.39997558519241921"/>
      </right>
      <top style="thin">
        <color theme="9" tint="0.39997558519241921"/>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3">
    <xf numFmtId="0" fontId="0" fillId="0" borderId="0"/>
    <xf numFmtId="164" fontId="2" fillId="0" borderId="0" applyFont="0" applyFill="0" applyBorder="0" applyAlignment="0" applyProtection="0"/>
    <xf numFmtId="9" fontId="2" fillId="0" borderId="0" applyFont="0" applyFill="0" applyBorder="0" applyAlignment="0" applyProtection="0"/>
  </cellStyleXfs>
  <cellXfs count="113">
    <xf numFmtId="0" fontId="0" fillId="0" borderId="0" xfId="0"/>
    <xf numFmtId="165" fontId="0" fillId="0" borderId="0" xfId="1" applyNumberFormat="1" applyFont="1"/>
    <xf numFmtId="165" fontId="3" fillId="2" borderId="3" xfId="1" applyNumberFormat="1" applyFont="1" applyFill="1" applyBorder="1"/>
    <xf numFmtId="165" fontId="3" fillId="2" borderId="4" xfId="1" applyNumberFormat="1" applyFont="1" applyFill="1" applyBorder="1"/>
    <xf numFmtId="165" fontId="3" fillId="2" borderId="5" xfId="1" applyNumberFormat="1" applyFont="1" applyFill="1" applyBorder="1"/>
    <xf numFmtId="165" fontId="0" fillId="3" borderId="3" xfId="1" applyNumberFormat="1" applyFont="1" applyFill="1" applyBorder="1"/>
    <xf numFmtId="165" fontId="0" fillId="3" borderId="4" xfId="1" applyNumberFormat="1" applyFont="1" applyFill="1" applyBorder="1"/>
    <xf numFmtId="165" fontId="0" fillId="3" borderId="5" xfId="1" applyNumberFormat="1" applyFont="1" applyFill="1" applyBorder="1"/>
    <xf numFmtId="165" fontId="0" fillId="0" borderId="3" xfId="1" applyNumberFormat="1" applyFont="1" applyBorder="1"/>
    <xf numFmtId="165" fontId="0" fillId="0" borderId="4" xfId="1" applyNumberFormat="1" applyFont="1" applyBorder="1"/>
    <xf numFmtId="165" fontId="0" fillId="0" borderId="5" xfId="1" applyNumberFormat="1" applyFont="1" applyBorder="1"/>
    <xf numFmtId="165" fontId="7" fillId="4" borderId="3" xfId="1" applyNumberFormat="1" applyFont="1" applyFill="1" applyBorder="1"/>
    <xf numFmtId="165" fontId="7" fillId="5" borderId="3" xfId="1" applyNumberFormat="1" applyFont="1" applyFill="1" applyBorder="1"/>
    <xf numFmtId="165" fontId="7" fillId="5" borderId="1" xfId="1" applyNumberFormat="1" applyFont="1" applyFill="1" applyBorder="1"/>
    <xf numFmtId="165" fontId="4" fillId="4" borderId="3" xfId="1" applyNumberFormat="1" applyFont="1" applyFill="1" applyBorder="1"/>
    <xf numFmtId="9" fontId="0" fillId="0" borderId="0" xfId="2" applyFont="1"/>
    <xf numFmtId="165" fontId="0" fillId="0" borderId="3" xfId="1" applyNumberFormat="1" applyFont="1" applyFill="1" applyBorder="1"/>
    <xf numFmtId="165" fontId="0" fillId="0" borderId="4" xfId="1" applyNumberFormat="1" applyFont="1" applyFill="1" applyBorder="1"/>
    <xf numFmtId="165" fontId="0" fillId="0" borderId="5" xfId="1" applyNumberFormat="1" applyFont="1" applyFill="1" applyBorder="1"/>
    <xf numFmtId="9" fontId="0" fillId="0" borderId="4" xfId="2" applyFont="1" applyFill="1" applyBorder="1"/>
    <xf numFmtId="165" fontId="0" fillId="0" borderId="0" xfId="1" applyNumberFormat="1" applyFont="1" applyFill="1"/>
    <xf numFmtId="9" fontId="0" fillId="0" borderId="0" xfId="2" applyFont="1" applyFill="1"/>
    <xf numFmtId="0" fontId="0" fillId="0" borderId="4" xfId="0" applyBorder="1" applyAlignment="1">
      <alignment horizontal="left" indent="4"/>
    </xf>
    <xf numFmtId="0" fontId="0" fillId="0" borderId="4" xfId="0" applyBorder="1" applyAlignment="1">
      <alignment horizontal="left" wrapText="1" indent="4"/>
    </xf>
    <xf numFmtId="0" fontId="3" fillId="6" borderId="4" xfId="0" applyFont="1" applyFill="1" applyBorder="1" applyAlignment="1">
      <alignment horizontal="left" indent="2"/>
    </xf>
    <xf numFmtId="0" fontId="3" fillId="6" borderId="0" xfId="0" applyFont="1" applyFill="1"/>
    <xf numFmtId="165" fontId="3" fillId="6" borderId="3" xfId="1" applyNumberFormat="1" applyFont="1" applyFill="1" applyBorder="1"/>
    <xf numFmtId="9" fontId="3" fillId="6" borderId="3" xfId="2" applyFont="1" applyFill="1" applyBorder="1"/>
    <xf numFmtId="0" fontId="3" fillId="6" borderId="4" xfId="0" applyFont="1" applyFill="1" applyBorder="1" applyAlignment="1">
      <alignment horizontal="left" wrapText="1"/>
    </xf>
    <xf numFmtId="0" fontId="3" fillId="6" borderId="0" xfId="0" applyFont="1" applyFill="1" applyAlignment="1">
      <alignment wrapText="1"/>
    </xf>
    <xf numFmtId="165" fontId="3" fillId="6" borderId="3" xfId="1" applyNumberFormat="1" applyFont="1" applyFill="1" applyBorder="1" applyAlignment="1">
      <alignment wrapText="1"/>
    </xf>
    <xf numFmtId="9" fontId="3" fillId="6" borderId="3" xfId="2" applyFont="1" applyFill="1" applyBorder="1" applyAlignment="1">
      <alignment wrapText="1"/>
    </xf>
    <xf numFmtId="0" fontId="0" fillId="0" borderId="2" xfId="0" applyBorder="1"/>
    <xf numFmtId="165" fontId="2" fillId="0" borderId="1" xfId="1" applyNumberFormat="1" applyFont="1" applyFill="1" applyBorder="1"/>
    <xf numFmtId="9" fontId="2" fillId="0" borderId="1" xfId="2" applyFont="1" applyFill="1" applyBorder="1"/>
    <xf numFmtId="0" fontId="3" fillId="7" borderId="4" xfId="0" applyFont="1" applyFill="1" applyBorder="1" applyAlignment="1">
      <alignment horizontal="left" wrapText="1"/>
    </xf>
    <xf numFmtId="0" fontId="3" fillId="7" borderId="0" xfId="0" applyFont="1" applyFill="1" applyAlignment="1">
      <alignment wrapText="1"/>
    </xf>
    <xf numFmtId="165" fontId="3" fillId="7" borderId="3" xfId="1" applyNumberFormat="1" applyFont="1" applyFill="1" applyBorder="1" applyAlignment="1">
      <alignment wrapText="1"/>
    </xf>
    <xf numFmtId="9" fontId="3" fillId="7" borderId="3" xfId="2" applyFont="1" applyFill="1" applyBorder="1" applyAlignment="1">
      <alignment wrapText="1"/>
    </xf>
    <xf numFmtId="0" fontId="3" fillId="8" borderId="4" xfId="0" applyFont="1" applyFill="1" applyBorder="1"/>
    <xf numFmtId="0" fontId="3" fillId="8" borderId="0" xfId="0" applyFont="1" applyFill="1"/>
    <xf numFmtId="165" fontId="3" fillId="8" borderId="3" xfId="1" applyNumberFormat="1" applyFont="1" applyFill="1" applyBorder="1"/>
    <xf numFmtId="165" fontId="3" fillId="8" borderId="4" xfId="1" applyNumberFormat="1" applyFont="1" applyFill="1" applyBorder="1"/>
    <xf numFmtId="165" fontId="3" fillId="8" borderId="5" xfId="1" applyNumberFormat="1" applyFont="1" applyFill="1" applyBorder="1"/>
    <xf numFmtId="0" fontId="3" fillId="10" borderId="0" xfId="0" applyFont="1" applyFill="1"/>
    <xf numFmtId="0" fontId="0" fillId="9" borderId="4" xfId="0" applyFill="1" applyBorder="1" applyAlignment="1">
      <alignment horizontal="left" indent="4"/>
    </xf>
    <xf numFmtId="0" fontId="0" fillId="9" borderId="0" xfId="0" applyFill="1"/>
    <xf numFmtId="9" fontId="0" fillId="9" borderId="4" xfId="2" applyFont="1" applyFill="1" applyBorder="1"/>
    <xf numFmtId="0" fontId="8" fillId="11" borderId="4" xfId="0" applyFont="1" applyFill="1" applyBorder="1"/>
    <xf numFmtId="9" fontId="0" fillId="9" borderId="3" xfId="2" applyFont="1" applyFill="1" applyBorder="1"/>
    <xf numFmtId="9" fontId="0" fillId="9" borderId="5" xfId="2" applyFont="1" applyFill="1" applyBorder="1"/>
    <xf numFmtId="0" fontId="5" fillId="0" borderId="0" xfId="0" applyFont="1"/>
    <xf numFmtId="0" fontId="5" fillId="0" borderId="0" xfId="0" applyFont="1" applyAlignment="1">
      <alignment wrapText="1"/>
    </xf>
    <xf numFmtId="0" fontId="0" fillId="0" borderId="6" xfId="0" applyBorder="1"/>
    <xf numFmtId="0" fontId="0" fillId="0" borderId="7" xfId="0" applyBorder="1"/>
    <xf numFmtId="0" fontId="0" fillId="0" borderId="8" xfId="0" applyBorder="1"/>
    <xf numFmtId="0" fontId="0" fillId="9" borderId="0" xfId="0" applyFill="1" applyAlignment="1">
      <alignment horizontal="left" indent="4"/>
    </xf>
    <xf numFmtId="165" fontId="0" fillId="0" borderId="0" xfId="0" applyNumberFormat="1"/>
    <xf numFmtId="165" fontId="0" fillId="9" borderId="3" xfId="2" applyNumberFormat="1" applyFont="1" applyFill="1" applyBorder="1"/>
    <xf numFmtId="0" fontId="9" fillId="0" borderId="0" xfId="0" applyFont="1"/>
    <xf numFmtId="0" fontId="5" fillId="0" borderId="0" xfId="0" applyFont="1" applyAlignment="1">
      <alignment horizontal="left" indent="4"/>
    </xf>
    <xf numFmtId="165" fontId="5" fillId="0" borderId="0" xfId="1" applyNumberFormat="1" applyFont="1" applyFill="1"/>
    <xf numFmtId="0" fontId="0" fillId="0" borderId="0" xfId="0" applyAlignment="1">
      <alignment horizontal="left" indent="4"/>
    </xf>
    <xf numFmtId="0" fontId="10" fillId="8" borderId="4" xfId="0" applyFont="1" applyFill="1" applyBorder="1"/>
    <xf numFmtId="0" fontId="10" fillId="8" borderId="0" xfId="0" applyFont="1" applyFill="1"/>
    <xf numFmtId="0" fontId="1" fillId="0" borderId="4" xfId="0" applyFont="1" applyBorder="1" applyAlignment="1">
      <alignment horizontal="left" indent="4"/>
    </xf>
    <xf numFmtId="0" fontId="1" fillId="0" borderId="0" xfId="0" applyFont="1"/>
    <xf numFmtId="165" fontId="1" fillId="0" borderId="3" xfId="1" applyNumberFormat="1" applyFont="1" applyFill="1" applyBorder="1"/>
    <xf numFmtId="9" fontId="1" fillId="0" borderId="4" xfId="2" applyFont="1" applyFill="1" applyBorder="1"/>
    <xf numFmtId="0" fontId="10" fillId="6" borderId="4" xfId="0" applyFont="1" applyFill="1" applyBorder="1" applyAlignment="1">
      <alignment horizontal="left" indent="2"/>
    </xf>
    <xf numFmtId="0" fontId="10" fillId="6" borderId="0" xfId="0" applyFont="1" applyFill="1"/>
    <xf numFmtId="165" fontId="10" fillId="6" borderId="3" xfId="1" applyNumberFormat="1" applyFont="1" applyFill="1" applyBorder="1"/>
    <xf numFmtId="0" fontId="1" fillId="0" borderId="4" xfId="0" applyFont="1" applyBorder="1" applyAlignment="1">
      <alignment horizontal="left" wrapText="1" indent="4"/>
    </xf>
    <xf numFmtId="0" fontId="10" fillId="6" borderId="4" xfId="0" applyFont="1" applyFill="1" applyBorder="1" applyAlignment="1">
      <alignment horizontal="left" wrapText="1"/>
    </xf>
    <xf numFmtId="0" fontId="10" fillId="6" borderId="0" xfId="0" applyFont="1" applyFill="1" applyAlignment="1">
      <alignment wrapText="1"/>
    </xf>
    <xf numFmtId="165" fontId="10" fillId="6" borderId="3" xfId="1" applyNumberFormat="1" applyFont="1" applyFill="1" applyBorder="1" applyAlignment="1">
      <alignment wrapText="1"/>
    </xf>
    <xf numFmtId="0" fontId="10" fillId="7" borderId="4" xfId="0" applyFont="1" applyFill="1" applyBorder="1" applyAlignment="1">
      <alignment horizontal="left" wrapText="1"/>
    </xf>
    <xf numFmtId="0" fontId="10" fillId="7" borderId="0" xfId="0" applyFont="1" applyFill="1" applyAlignment="1">
      <alignment wrapText="1"/>
    </xf>
    <xf numFmtId="165" fontId="10" fillId="7" borderId="3" xfId="1" applyNumberFormat="1" applyFont="1" applyFill="1" applyBorder="1" applyAlignment="1">
      <alignment wrapText="1"/>
    </xf>
    <xf numFmtId="0" fontId="1" fillId="0" borderId="2" xfId="0" applyFont="1" applyBorder="1"/>
    <xf numFmtId="165" fontId="1" fillId="0" borderId="1" xfId="1" applyNumberFormat="1" applyFont="1" applyFill="1" applyBorder="1"/>
    <xf numFmtId="9" fontId="1" fillId="0" borderId="1" xfId="2" applyFont="1" applyFill="1" applyBorder="1"/>
    <xf numFmtId="0" fontId="10" fillId="0" borderId="4" xfId="0" applyFont="1" applyBorder="1" applyAlignment="1">
      <alignment horizontal="left" wrapText="1"/>
    </xf>
    <xf numFmtId="0" fontId="10" fillId="0" borderId="0" xfId="0" applyFont="1" applyAlignment="1">
      <alignment wrapText="1"/>
    </xf>
    <xf numFmtId="165" fontId="10" fillId="0" borderId="0" xfId="1" applyNumberFormat="1" applyFont="1" applyFill="1" applyBorder="1" applyAlignment="1">
      <alignment wrapText="1"/>
    </xf>
    <xf numFmtId="9" fontId="10" fillId="0" borderId="0" xfId="2" applyFont="1" applyFill="1" applyBorder="1" applyAlignment="1">
      <alignment wrapText="1"/>
    </xf>
    <xf numFmtId="0" fontId="10" fillId="11" borderId="4" xfId="0" applyFont="1" applyFill="1" applyBorder="1"/>
    <xf numFmtId="0" fontId="10" fillId="10" borderId="0" xfId="0" applyFont="1" applyFill="1"/>
    <xf numFmtId="165" fontId="1" fillId="0" borderId="0" xfId="1" applyNumberFormat="1" applyFont="1" applyFill="1"/>
    <xf numFmtId="0" fontId="1" fillId="9" borderId="4" xfId="0" applyFont="1" applyFill="1" applyBorder="1" applyAlignment="1">
      <alignment horizontal="left" indent="4"/>
    </xf>
    <xf numFmtId="0" fontId="1" fillId="9" borderId="0" xfId="0" applyFont="1" applyFill="1"/>
    <xf numFmtId="165" fontId="11" fillId="9" borderId="3" xfId="1" applyNumberFormat="1" applyFont="1" applyFill="1" applyBorder="1"/>
    <xf numFmtId="9" fontId="11" fillId="9" borderId="3" xfId="2" applyFont="1" applyFill="1" applyBorder="1"/>
    <xf numFmtId="9" fontId="1" fillId="9" borderId="3" xfId="2" applyFont="1" applyFill="1" applyBorder="1"/>
    <xf numFmtId="9" fontId="1" fillId="9" borderId="4" xfId="2" applyFont="1" applyFill="1" applyBorder="1"/>
    <xf numFmtId="165" fontId="10" fillId="8" borderId="3" xfId="1" applyNumberFormat="1" applyFont="1" applyFill="1" applyBorder="1" applyAlignment="1">
      <alignment horizontal="right"/>
    </xf>
    <xf numFmtId="165" fontId="10" fillId="12" borderId="3" xfId="1" applyNumberFormat="1" applyFont="1" applyFill="1" applyBorder="1" applyAlignment="1">
      <alignment horizontal="right"/>
    </xf>
    <xf numFmtId="165" fontId="10" fillId="12" borderId="4" xfId="1" applyNumberFormat="1" applyFont="1" applyFill="1" applyBorder="1" applyAlignment="1">
      <alignment horizontal="right"/>
    </xf>
    <xf numFmtId="165" fontId="10" fillId="13" borderId="3" xfId="1" applyNumberFormat="1" applyFont="1" applyFill="1" applyBorder="1"/>
    <xf numFmtId="9" fontId="10" fillId="13" borderId="3" xfId="2" applyFont="1" applyFill="1" applyBorder="1"/>
    <xf numFmtId="165" fontId="10" fillId="13" borderId="3" xfId="1" applyNumberFormat="1" applyFont="1" applyFill="1" applyBorder="1" applyAlignment="1">
      <alignment wrapText="1"/>
    </xf>
    <xf numFmtId="9" fontId="10" fillId="13" borderId="3" xfId="2" applyFont="1" applyFill="1" applyBorder="1" applyAlignment="1">
      <alignment wrapText="1"/>
    </xf>
    <xf numFmtId="165" fontId="10" fillId="14" borderId="3" xfId="1" applyNumberFormat="1" applyFont="1" applyFill="1" applyBorder="1" applyAlignment="1">
      <alignment wrapText="1"/>
    </xf>
    <xf numFmtId="9" fontId="10" fillId="14" borderId="3" xfId="2" applyFont="1" applyFill="1" applyBorder="1" applyAlignment="1">
      <alignment wrapText="1"/>
    </xf>
    <xf numFmtId="10" fontId="0" fillId="0" borderId="0" xfId="0" applyNumberFormat="1"/>
    <xf numFmtId="0" fontId="12" fillId="0" borderId="0" xfId="0" applyFont="1"/>
    <xf numFmtId="0" fontId="12" fillId="0" borderId="4" xfId="0" applyFont="1" applyBorder="1" applyAlignment="1">
      <alignment horizontal="left" indent="4"/>
    </xf>
    <xf numFmtId="0" fontId="12" fillId="0" borderId="0" xfId="0" applyFont="1" applyAlignment="1">
      <alignment horizontal="left" indent="4"/>
    </xf>
    <xf numFmtId="3" fontId="12" fillId="0" borderId="0" xfId="0" applyNumberFormat="1" applyFont="1"/>
    <xf numFmtId="3" fontId="12" fillId="0" borderId="0" xfId="0" applyNumberFormat="1" applyFont="1" applyAlignment="1">
      <alignment horizontal="right"/>
    </xf>
    <xf numFmtId="9" fontId="12" fillId="0" borderId="0" xfId="0" applyNumberFormat="1" applyFont="1"/>
    <xf numFmtId="0" fontId="9" fillId="0" borderId="0" xfId="0" applyFont="1" applyAlignment="1">
      <alignment horizontal="center" vertical="top" wrapText="1"/>
    </xf>
    <xf numFmtId="165" fontId="3" fillId="7" borderId="0" xfId="1" applyNumberFormat="1" applyFont="1" applyFill="1" applyAlignment="1">
      <alignment horizontal="center"/>
    </xf>
  </cellXfs>
  <cellStyles count="3">
    <cellStyle name="Comma" xfId="1" builtinId="3"/>
    <cellStyle name="Normal" xfId="0" builtinId="0"/>
    <cellStyle name="Percent" xfId="2" builtinId="5"/>
  </cellStyles>
  <dxfs count="0"/>
  <tableStyles count="0" defaultTableStyle="TableStyleMedium2" defaultPivotStyle="PivotStyleLight16"/>
  <colors>
    <mruColors>
      <color rgb="FFF3FF4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onnections" Target="connections.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tx>
            <c:strRef>
              <c:f>'Consolidated data'!$B$41:$D$41</c:f>
              <c:strCache>
                <c:ptCount val="3"/>
                <c:pt idx="0">
                  <c:v>Operating Result</c:v>
                </c:pt>
              </c:strCache>
            </c:strRef>
          </c:tx>
          <c:spPr>
            <a:solidFill>
              <a:schemeClr val="accent1"/>
            </a:solidFill>
            <a:ln>
              <a:noFill/>
            </a:ln>
            <a:effectLst/>
          </c:spPr>
          <c:invertIfNegative val="0"/>
          <c:cat>
            <c:strRef>
              <c:f>'Consolidated data'!$E$40:$G$40</c:f>
              <c:strCache>
                <c:ptCount val="3"/>
                <c:pt idx="0">
                  <c:v> Budget FY 25 </c:v>
                </c:pt>
                <c:pt idx="1">
                  <c:v> Actual FY 25 </c:v>
                </c:pt>
                <c:pt idx="2">
                  <c:v> Actual FY 24 </c:v>
                </c:pt>
              </c:strCache>
            </c:strRef>
          </c:cat>
          <c:val>
            <c:numRef>
              <c:f>'Consolidated data'!$E$41:$G$41</c:f>
              <c:numCache>
                <c:formatCode>_ * #,##0_ ;_ * \-#,##0_ ;_ * "-"??_ ;_ @_ </c:formatCode>
                <c:ptCount val="3"/>
                <c:pt idx="0">
                  <c:v>17145</c:v>
                </c:pt>
                <c:pt idx="1">
                  <c:v>62513</c:v>
                </c:pt>
                <c:pt idx="2">
                  <c:v>-27997</c:v>
                </c:pt>
              </c:numCache>
            </c:numRef>
          </c:val>
          <c:extLst>
            <c:ext xmlns:c16="http://schemas.microsoft.com/office/drawing/2014/chart" uri="{C3380CC4-5D6E-409C-BE32-E72D297353CC}">
              <c16:uniqueId val="{00000000-A726-4121-A3AA-40DB23FD7022}"/>
            </c:ext>
          </c:extLst>
        </c:ser>
        <c:ser>
          <c:idx val="1"/>
          <c:order val="1"/>
          <c:tx>
            <c:strRef>
              <c:f>'Consolidated data'!$B$42:$D$42</c:f>
              <c:strCache>
                <c:ptCount val="3"/>
                <c:pt idx="0">
                  <c:v>Total Expenses</c:v>
                </c:pt>
              </c:strCache>
            </c:strRef>
          </c:tx>
          <c:spPr>
            <a:solidFill>
              <a:schemeClr val="accent2"/>
            </a:solidFill>
            <a:ln>
              <a:noFill/>
            </a:ln>
            <a:effectLst/>
          </c:spPr>
          <c:invertIfNegative val="0"/>
          <c:cat>
            <c:strRef>
              <c:f>'Consolidated data'!$E$40:$G$40</c:f>
              <c:strCache>
                <c:ptCount val="3"/>
                <c:pt idx="0">
                  <c:v> Budget FY 25 </c:v>
                </c:pt>
                <c:pt idx="1">
                  <c:v> Actual FY 25 </c:v>
                </c:pt>
                <c:pt idx="2">
                  <c:v> Actual FY 24 </c:v>
                </c:pt>
              </c:strCache>
            </c:strRef>
          </c:cat>
          <c:val>
            <c:numRef>
              <c:f>'Consolidated data'!$E$42:$G$42</c:f>
              <c:numCache>
                <c:formatCode>_ * #,##0_ ;_ * \-#,##0_ ;_ * "-"??_ ;_ @_ </c:formatCode>
                <c:ptCount val="3"/>
                <c:pt idx="0">
                  <c:v>160340</c:v>
                </c:pt>
                <c:pt idx="1">
                  <c:v>162608</c:v>
                </c:pt>
                <c:pt idx="2">
                  <c:v>170749</c:v>
                </c:pt>
              </c:numCache>
            </c:numRef>
          </c:val>
          <c:extLst>
            <c:ext xmlns:c16="http://schemas.microsoft.com/office/drawing/2014/chart" uri="{C3380CC4-5D6E-409C-BE32-E72D297353CC}">
              <c16:uniqueId val="{00000001-A726-4121-A3AA-40DB23FD7022}"/>
            </c:ext>
          </c:extLst>
        </c:ser>
        <c:dLbls>
          <c:showLegendKey val="0"/>
          <c:showVal val="0"/>
          <c:showCatName val="0"/>
          <c:showSerName val="0"/>
          <c:showPercent val="0"/>
          <c:showBubbleSize val="0"/>
        </c:dLbls>
        <c:gapWidth val="219"/>
        <c:overlap val="100"/>
        <c:axId val="2131764544"/>
        <c:axId val="2131761184"/>
      </c:barChart>
      <c:lineChart>
        <c:grouping val="standard"/>
        <c:varyColors val="0"/>
        <c:ser>
          <c:idx val="2"/>
          <c:order val="2"/>
          <c:tx>
            <c:strRef>
              <c:f>'Consolidated data'!$B$43:$D$43</c:f>
              <c:strCache>
                <c:ptCount val="3"/>
                <c:pt idx="0">
                  <c:v>NP % over Total Revenue</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'Consolidated data'!$E$40:$G$40</c:f>
              <c:strCache>
                <c:ptCount val="3"/>
                <c:pt idx="0">
                  <c:v> Budget FY 25 </c:v>
                </c:pt>
                <c:pt idx="1">
                  <c:v> Actual FY 25 </c:v>
                </c:pt>
                <c:pt idx="2">
                  <c:v> Actual FY 24 </c:v>
                </c:pt>
              </c:strCache>
            </c:strRef>
          </c:cat>
          <c:val>
            <c:numRef>
              <c:f>'Consolidated data'!$E$43:$G$43</c:f>
              <c:numCache>
                <c:formatCode>0%</c:formatCode>
                <c:ptCount val="3"/>
                <c:pt idx="0">
                  <c:v>9.659971265177339E-2</c:v>
                </c:pt>
                <c:pt idx="1">
                  <c:v>0.27768622207612798</c:v>
                </c:pt>
                <c:pt idx="2">
                  <c:v>-0.19612334678323246</c:v>
                </c:pt>
              </c:numCache>
            </c:numRef>
          </c:val>
          <c:smooth val="0"/>
          <c:extLst>
            <c:ext xmlns:c16="http://schemas.microsoft.com/office/drawing/2014/chart" uri="{C3380CC4-5D6E-409C-BE32-E72D297353CC}">
              <c16:uniqueId val="{00000002-A726-4121-A3AA-40DB23FD7022}"/>
            </c:ext>
          </c:extLst>
        </c:ser>
        <c:ser>
          <c:idx val="3"/>
          <c:order val="3"/>
          <c:tx>
            <c:strRef>
              <c:f>'Consolidated data'!$B$44:$D$44</c:f>
              <c:strCache>
                <c:ptCount val="3"/>
                <c:pt idx="0">
                  <c:v>NP before Govt Grant % over Total Revenue</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'Consolidated data'!$E$40:$G$40</c:f>
              <c:strCache>
                <c:ptCount val="3"/>
                <c:pt idx="0">
                  <c:v> Budget FY 25 </c:v>
                </c:pt>
                <c:pt idx="1">
                  <c:v> Actual FY 25 </c:v>
                </c:pt>
                <c:pt idx="2">
                  <c:v> Actual FY 24 </c:v>
                </c:pt>
              </c:strCache>
            </c:strRef>
          </c:cat>
          <c:val>
            <c:numRef>
              <c:f>'Consolidated data'!$E$44:$G$44</c:f>
              <c:numCache>
                <c:formatCode>0%</c:formatCode>
                <c:ptCount val="3"/>
                <c:pt idx="0">
                  <c:v>4.0594979857452744E-2</c:v>
                </c:pt>
                <c:pt idx="1">
                  <c:v>9.1364199697051812E-2</c:v>
                </c:pt>
                <c:pt idx="2">
                  <c:v>-4.0587872674288275E-2</c:v>
                </c:pt>
              </c:numCache>
            </c:numRef>
          </c:val>
          <c:smooth val="0"/>
          <c:extLst>
            <c:ext xmlns:c16="http://schemas.microsoft.com/office/drawing/2014/chart" uri="{C3380CC4-5D6E-409C-BE32-E72D297353CC}">
              <c16:uniqueId val="{00000003-A726-4121-A3AA-40DB23FD7022}"/>
            </c:ext>
          </c:extLst>
        </c:ser>
        <c:ser>
          <c:idx val="4"/>
          <c:order val="4"/>
          <c:tx>
            <c:strRef>
              <c:f>'Consolidated data'!$B$45:$D$45</c:f>
              <c:strCache>
                <c:ptCount val="3"/>
                <c:pt idx="0">
                  <c:v>Direct Result from Operations % over Direct Revenue</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Ref>
              <c:f>'Consolidated data'!$E$40:$G$40</c:f>
              <c:strCache>
                <c:ptCount val="3"/>
                <c:pt idx="0">
                  <c:v> Budget FY 25 </c:v>
                </c:pt>
                <c:pt idx="1">
                  <c:v> Actual FY 25 </c:v>
                </c:pt>
                <c:pt idx="2">
                  <c:v> Actual FY 24 </c:v>
                </c:pt>
              </c:strCache>
            </c:strRef>
          </c:cat>
          <c:val>
            <c:numRef>
              <c:f>'Consolidated data'!$E$45:$G$45</c:f>
              <c:numCache>
                <c:formatCode>0%</c:formatCode>
                <c:ptCount val="3"/>
                <c:pt idx="0">
                  <c:v>0.18158177398383177</c:v>
                </c:pt>
                <c:pt idx="1">
                  <c:v>0.33967344629343355</c:v>
                </c:pt>
                <c:pt idx="2">
                  <c:v>-0.13691966222756249</c:v>
                </c:pt>
              </c:numCache>
            </c:numRef>
          </c:val>
          <c:smooth val="0"/>
          <c:extLst>
            <c:ext xmlns:c16="http://schemas.microsoft.com/office/drawing/2014/chart" uri="{C3380CC4-5D6E-409C-BE32-E72D297353CC}">
              <c16:uniqueId val="{00000004-A726-4121-A3AA-40DB23FD7022}"/>
            </c:ext>
          </c:extLst>
        </c:ser>
        <c:dLbls>
          <c:showLegendKey val="0"/>
          <c:showVal val="0"/>
          <c:showCatName val="0"/>
          <c:showSerName val="0"/>
          <c:showPercent val="0"/>
          <c:showBubbleSize val="0"/>
        </c:dLbls>
        <c:marker val="1"/>
        <c:smooth val="0"/>
        <c:axId val="2131784704"/>
        <c:axId val="2131787104"/>
      </c:lineChart>
      <c:catAx>
        <c:axId val="21317645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1761184"/>
        <c:crosses val="autoZero"/>
        <c:auto val="1"/>
        <c:lblAlgn val="ctr"/>
        <c:lblOffset val="100"/>
        <c:noMultiLvlLbl val="0"/>
      </c:catAx>
      <c:valAx>
        <c:axId val="2131761184"/>
        <c:scaling>
          <c:orientation val="minMax"/>
        </c:scaling>
        <c:delete val="0"/>
        <c:axPos val="l"/>
        <c:majorGridlines>
          <c:spPr>
            <a:ln w="9525" cap="flat" cmpd="sng" algn="ctr">
              <a:solidFill>
                <a:schemeClr val="tx1">
                  <a:lumMod val="15000"/>
                  <a:lumOff val="85000"/>
                </a:schemeClr>
              </a:solidFill>
              <a:round/>
            </a:ln>
            <a:effectLst/>
          </c:spPr>
        </c:majorGridlines>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1764544"/>
        <c:crosses val="autoZero"/>
        <c:crossBetween val="between"/>
      </c:valAx>
      <c:valAx>
        <c:axId val="2131787104"/>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1784704"/>
        <c:crosses val="max"/>
        <c:crossBetween val="between"/>
      </c:valAx>
      <c:catAx>
        <c:axId val="2131784704"/>
        <c:scaling>
          <c:orientation val="minMax"/>
        </c:scaling>
        <c:delete val="1"/>
        <c:axPos val="b"/>
        <c:numFmt formatCode="General" sourceLinked="1"/>
        <c:majorTickMark val="out"/>
        <c:minorTickMark val="none"/>
        <c:tickLblPos val="nextTo"/>
        <c:crossAx val="2131787104"/>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1"/>
                </a:solidFill>
              </a:rPr>
              <a:t>City of Sydney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tx>
            <c:strRef>
              <c:f>'City of Sydney'!$B$36:$C$36</c:f>
              <c:strCache>
                <c:ptCount val="2"/>
                <c:pt idx="0">
                  <c:v>Operating Result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'City of Sydney'!$D$35:$F$35</c:f>
              <c:strCache>
                <c:ptCount val="3"/>
                <c:pt idx="0">
                  <c:v> Budget FY 25 </c:v>
                </c:pt>
                <c:pt idx="1">
                  <c:v> Actual FY 25 </c:v>
                </c:pt>
                <c:pt idx="2">
                  <c:v> Actual FY 24 </c:v>
                </c:pt>
              </c:strCache>
            </c:strRef>
          </c:cat>
          <c:val>
            <c:numRef>
              <c:f>'City of Sydney'!$D$36:$F$36</c:f>
              <c:numCache>
                <c:formatCode>_ * #,##0_ ;_ * \-#,##0_ ;_ * "-"??_ ;_ @_ </c:formatCode>
                <c:ptCount val="3"/>
                <c:pt idx="0">
                  <c:v>115401</c:v>
                </c:pt>
                <c:pt idx="1">
                  <c:v>133462</c:v>
                </c:pt>
                <c:pt idx="2">
                  <c:v>147921</c:v>
                </c:pt>
              </c:numCache>
            </c:numRef>
          </c:val>
          <c:extLst>
            <c:ext xmlns:c16="http://schemas.microsoft.com/office/drawing/2014/chart" uri="{C3380CC4-5D6E-409C-BE32-E72D297353CC}">
              <c16:uniqueId val="{00000000-09C0-3F4A-BC3A-ED2061D2662E}"/>
            </c:ext>
          </c:extLst>
        </c:ser>
        <c:ser>
          <c:idx val="1"/>
          <c:order val="1"/>
          <c:tx>
            <c:strRef>
              <c:f>'City of Sydney'!$B$37:$C$37</c:f>
              <c:strCache>
                <c:ptCount val="2"/>
                <c:pt idx="0">
                  <c:v>Total Expenses</c:v>
                </c:pt>
              </c:strCache>
            </c:strRef>
          </c:tx>
          <c:spPr>
            <a:solidFill>
              <a:schemeClr val="accent2"/>
            </a:solidFill>
            <a:ln>
              <a:noFill/>
            </a:ln>
            <a:effectLst/>
          </c:spPr>
          <c:invertIfNegative val="0"/>
          <c:dLbls>
            <c:dLbl>
              <c:idx val="2"/>
              <c:layout>
                <c:manualLayout>
                  <c:x val="2.3684004415867287E-3"/>
                  <c:y val="-0.25277729317314424"/>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DC6E-264E-BB54-E7EB218A4E09}"/>
                </c:ext>
              </c:extLst>
            </c:dLbl>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'City of Sydney'!$D$35:$F$35</c:f>
              <c:strCache>
                <c:ptCount val="3"/>
                <c:pt idx="0">
                  <c:v> Budget FY 25 </c:v>
                </c:pt>
                <c:pt idx="1">
                  <c:v> Actual FY 25 </c:v>
                </c:pt>
                <c:pt idx="2">
                  <c:v> Actual FY 24 </c:v>
                </c:pt>
              </c:strCache>
            </c:strRef>
          </c:cat>
          <c:val>
            <c:numRef>
              <c:f>'City of Sydney'!$D$37:$F$37</c:f>
              <c:numCache>
                <c:formatCode>_ * #,##0_ ;_ * \-#,##0_ ;_ * "-"??_ ;_ @_ </c:formatCode>
                <c:ptCount val="3"/>
                <c:pt idx="0">
                  <c:v>730282</c:v>
                </c:pt>
                <c:pt idx="1">
                  <c:v>776286</c:v>
                </c:pt>
                <c:pt idx="2">
                  <c:v>746656</c:v>
                </c:pt>
              </c:numCache>
            </c:numRef>
          </c:val>
          <c:extLst>
            <c:ext xmlns:c16="http://schemas.microsoft.com/office/drawing/2014/chart" uri="{C3380CC4-5D6E-409C-BE32-E72D297353CC}">
              <c16:uniqueId val="{00000001-09C0-3F4A-BC3A-ED2061D2662E}"/>
            </c:ext>
          </c:extLst>
        </c:ser>
        <c:dLbls>
          <c:dLblPos val="inEnd"/>
          <c:showLegendKey val="0"/>
          <c:showVal val="1"/>
          <c:showCatName val="0"/>
          <c:showSerName val="0"/>
          <c:showPercent val="0"/>
          <c:showBubbleSize val="0"/>
        </c:dLbls>
        <c:gapWidth val="150"/>
        <c:overlap val="100"/>
        <c:axId val="1947107328"/>
        <c:axId val="1947118528"/>
      </c:barChart>
      <c:lineChart>
        <c:grouping val="standard"/>
        <c:varyColors val="0"/>
        <c:ser>
          <c:idx val="5"/>
          <c:order val="5"/>
          <c:tx>
            <c:strRef>
              <c:f>'City of Sydney'!$B$41:$C$41</c:f>
              <c:strCache>
                <c:ptCount val="2"/>
                <c:pt idx="0">
                  <c:v>Total Revenue </c:v>
                </c:pt>
              </c:strCache>
            </c:strRef>
          </c:tx>
          <c:spPr>
            <a:ln w="28575" cap="rnd">
              <a:no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'City of Sydney'!$D$35:$F$35</c:f>
              <c:strCache>
                <c:ptCount val="3"/>
                <c:pt idx="0">
                  <c:v> Budget FY 25 </c:v>
                </c:pt>
                <c:pt idx="1">
                  <c:v> Actual FY 25 </c:v>
                </c:pt>
                <c:pt idx="2">
                  <c:v> Actual FY 24 </c:v>
                </c:pt>
              </c:strCache>
            </c:strRef>
          </c:cat>
          <c:val>
            <c:numRef>
              <c:f>'City of Sydney'!$D$41:$F$41</c:f>
              <c:numCache>
                <c:formatCode>_ * #,##0_ ;_ * \-#,##0_ ;_ * "-"??_ ;_ @_ </c:formatCode>
                <c:ptCount val="3"/>
                <c:pt idx="0">
                  <c:v>845683</c:v>
                </c:pt>
                <c:pt idx="1">
                  <c:v>909748</c:v>
                </c:pt>
                <c:pt idx="2">
                  <c:v>894577</c:v>
                </c:pt>
              </c:numCache>
            </c:numRef>
          </c:val>
          <c:smooth val="0"/>
          <c:extLst>
            <c:ext xmlns:c16="http://schemas.microsoft.com/office/drawing/2014/chart" uri="{C3380CC4-5D6E-409C-BE32-E72D297353CC}">
              <c16:uniqueId val="{00000010-09C0-3F4A-BC3A-ED2061D2662E}"/>
            </c:ext>
          </c:extLst>
        </c:ser>
        <c:dLbls>
          <c:showLegendKey val="0"/>
          <c:showVal val="0"/>
          <c:showCatName val="0"/>
          <c:showSerName val="0"/>
          <c:showPercent val="0"/>
          <c:showBubbleSize val="0"/>
        </c:dLbls>
        <c:marker val="1"/>
        <c:smooth val="0"/>
        <c:axId val="1947107328"/>
        <c:axId val="1947118528"/>
      </c:lineChart>
      <c:lineChart>
        <c:grouping val="standard"/>
        <c:varyColors val="0"/>
        <c:ser>
          <c:idx val="2"/>
          <c:order val="2"/>
          <c:tx>
            <c:strRef>
              <c:f>'City of Sydney'!$B$38:$C$38</c:f>
              <c:strCache>
                <c:ptCount val="2"/>
                <c:pt idx="0">
                  <c:v>NP % over Total Revenue</c:v>
                </c:pt>
              </c:strCache>
            </c:strRef>
          </c:tx>
          <c:spPr>
            <a:ln w="28575" cap="rnd">
              <a:solidFill>
                <a:schemeClr val="accent3"/>
              </a:solidFill>
              <a:round/>
            </a:ln>
            <a:effectLst/>
          </c:spPr>
          <c:marker>
            <c:symbol val="circle"/>
            <c:size val="6"/>
            <c:spPr>
              <a:solidFill>
                <a:schemeClr val="accent3"/>
              </a:solidFill>
              <a:ln w="9525">
                <a:solidFill>
                  <a:schemeClr val="accent3"/>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'City of Sydney'!$D$35:$F$35</c:f>
              <c:strCache>
                <c:ptCount val="3"/>
                <c:pt idx="0">
                  <c:v> Budget FY 25 </c:v>
                </c:pt>
                <c:pt idx="1">
                  <c:v> Actual FY 25 </c:v>
                </c:pt>
                <c:pt idx="2">
                  <c:v> Actual FY 24 </c:v>
                </c:pt>
              </c:strCache>
            </c:strRef>
          </c:cat>
          <c:val>
            <c:numRef>
              <c:f>'City of Sydney'!$D$38:$F$38</c:f>
              <c:numCache>
                <c:formatCode>0%</c:formatCode>
                <c:ptCount val="3"/>
                <c:pt idx="0">
                  <c:v>0.13645893319364349</c:v>
                </c:pt>
                <c:pt idx="1">
                  <c:v>0.14670216367609493</c:v>
                </c:pt>
                <c:pt idx="2">
                  <c:v>0.16535301041721395</c:v>
                </c:pt>
              </c:numCache>
            </c:numRef>
          </c:val>
          <c:smooth val="0"/>
          <c:extLst>
            <c:ext xmlns:c16="http://schemas.microsoft.com/office/drawing/2014/chart" uri="{C3380CC4-5D6E-409C-BE32-E72D297353CC}">
              <c16:uniqueId val="{00000002-09C0-3F4A-BC3A-ED2061D2662E}"/>
            </c:ext>
          </c:extLst>
        </c:ser>
        <c:ser>
          <c:idx val="3"/>
          <c:order val="3"/>
          <c:tx>
            <c:strRef>
              <c:f>'City of Sydney'!$B$39:$C$39</c:f>
              <c:strCache>
                <c:ptCount val="2"/>
                <c:pt idx="0">
                  <c:v>NP before Govt Grant % over Total Revenue</c:v>
                </c:pt>
              </c:strCache>
            </c:strRef>
          </c:tx>
          <c:spPr>
            <a:ln w="28575" cap="rnd">
              <a:solidFill>
                <a:schemeClr val="accent4"/>
              </a:solidFill>
              <a:round/>
            </a:ln>
            <a:effectLst/>
          </c:spPr>
          <c:marker>
            <c:symbol val="circle"/>
            <c:size val="6"/>
            <c:spPr>
              <a:solidFill>
                <a:schemeClr val="accent4"/>
              </a:solidFill>
              <a:ln w="9525">
                <a:solidFill>
                  <a:schemeClr val="accent4"/>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'City of Sydney'!$D$35:$F$35</c:f>
              <c:strCache>
                <c:ptCount val="3"/>
                <c:pt idx="0">
                  <c:v> Budget FY 25 </c:v>
                </c:pt>
                <c:pt idx="1">
                  <c:v> Actual FY 25 </c:v>
                </c:pt>
                <c:pt idx="2">
                  <c:v> Actual FY 24 </c:v>
                </c:pt>
              </c:strCache>
            </c:strRef>
          </c:cat>
          <c:val>
            <c:numRef>
              <c:f>'City of Sydney'!$D$39:$F$39</c:f>
              <c:numCache>
                <c:formatCode>0%</c:formatCode>
                <c:ptCount val="3"/>
                <c:pt idx="0">
                  <c:v>2.4066937611374475E-2</c:v>
                </c:pt>
                <c:pt idx="1">
                  <c:v>2.4326516793661542E-2</c:v>
                </c:pt>
                <c:pt idx="2">
                  <c:v>3.3627066200002907E-2</c:v>
                </c:pt>
              </c:numCache>
            </c:numRef>
          </c:val>
          <c:smooth val="0"/>
          <c:extLst>
            <c:ext xmlns:c16="http://schemas.microsoft.com/office/drawing/2014/chart" uri="{C3380CC4-5D6E-409C-BE32-E72D297353CC}">
              <c16:uniqueId val="{00000003-09C0-3F4A-BC3A-ED2061D2662E}"/>
            </c:ext>
          </c:extLst>
        </c:ser>
        <c:ser>
          <c:idx val="4"/>
          <c:order val="4"/>
          <c:tx>
            <c:strRef>
              <c:f>'City of Sydney'!$B$40:$C$40</c:f>
              <c:strCache>
                <c:ptCount val="2"/>
                <c:pt idx="0">
                  <c:v>Direct Result from Operations % over Direct Revenue</c:v>
                </c:pt>
              </c:strCache>
            </c:strRef>
          </c:tx>
          <c:spPr>
            <a:ln w="28575" cap="rnd">
              <a:solidFill>
                <a:schemeClr val="accent5"/>
              </a:solidFill>
              <a:round/>
            </a:ln>
            <a:effectLst/>
          </c:spPr>
          <c:marker>
            <c:symbol val="circle"/>
            <c:size val="6"/>
            <c:spPr>
              <a:solidFill>
                <a:schemeClr val="accent5"/>
              </a:solidFill>
              <a:ln w="9525">
                <a:solidFill>
                  <a:schemeClr val="accent5"/>
                </a:solidFill>
              </a:ln>
              <a:effectLst/>
            </c:spPr>
          </c:marker>
          <c:dLbls>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6="http://schemas.microsoft.com/office/drawing/2014/chart" uri="{C3380CC4-5D6E-409C-BE32-E72D297353CC}">
                  <c16:uniqueId val="{00000005-09C0-3F4A-BC3A-ED2061D2662E}"/>
                </c:ext>
              </c:extLst>
            </c:dLbl>
            <c:dLbl>
              <c:idx val="1"/>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6="http://schemas.microsoft.com/office/drawing/2014/chart" uri="{C3380CC4-5D6E-409C-BE32-E72D297353CC}">
                  <c16:uniqueId val="{00000006-09C0-3F4A-BC3A-ED2061D2662E}"/>
                </c:ext>
              </c:extLst>
            </c:dLbl>
            <c:dLbl>
              <c:idx val="2"/>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6="http://schemas.microsoft.com/office/drawing/2014/chart" uri="{C3380CC4-5D6E-409C-BE32-E72D297353CC}">
                  <c16:uniqueId val="{00000007-09C0-3F4A-BC3A-ED2061D2662E}"/>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'City of Sydney'!$D$35:$F$35</c:f>
              <c:strCache>
                <c:ptCount val="3"/>
                <c:pt idx="0">
                  <c:v> Budget FY 25 </c:v>
                </c:pt>
                <c:pt idx="1">
                  <c:v> Actual FY 25 </c:v>
                </c:pt>
                <c:pt idx="2">
                  <c:v> Actual FY 24 </c:v>
                </c:pt>
              </c:strCache>
            </c:strRef>
          </c:cat>
          <c:val>
            <c:numRef>
              <c:f>'City of Sydney'!$D$40:$F$40</c:f>
              <c:numCache>
                <c:formatCode>0%</c:formatCode>
                <c:ptCount val="3"/>
                <c:pt idx="0">
                  <c:v>0.21537944170077289</c:v>
                </c:pt>
                <c:pt idx="1">
                  <c:v>0.16540989238107573</c:v>
                </c:pt>
                <c:pt idx="2">
                  <c:v>0.17141064982858359</c:v>
                </c:pt>
              </c:numCache>
            </c:numRef>
          </c:val>
          <c:smooth val="0"/>
          <c:extLst>
            <c:ext xmlns:c16="http://schemas.microsoft.com/office/drawing/2014/chart" uri="{C3380CC4-5D6E-409C-BE32-E72D297353CC}">
              <c16:uniqueId val="{00000004-09C0-3F4A-BC3A-ED2061D2662E}"/>
            </c:ext>
          </c:extLst>
        </c:ser>
        <c:dLbls>
          <c:showLegendKey val="0"/>
          <c:showVal val="0"/>
          <c:showCatName val="0"/>
          <c:showSerName val="0"/>
          <c:showPercent val="0"/>
          <c:showBubbleSize val="0"/>
        </c:dLbls>
        <c:marker val="1"/>
        <c:smooth val="0"/>
        <c:axId val="260287872"/>
        <c:axId val="1947114048"/>
      </c:lineChart>
      <c:catAx>
        <c:axId val="1947107328"/>
        <c:scaling>
          <c:orientation val="maxMin"/>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947118528"/>
        <c:crosses val="autoZero"/>
        <c:auto val="1"/>
        <c:lblAlgn val="ctr"/>
        <c:lblOffset val="100"/>
        <c:noMultiLvlLbl val="0"/>
      </c:catAx>
      <c:valAx>
        <c:axId val="1947118528"/>
        <c:scaling>
          <c:orientation val="minMax"/>
        </c:scaling>
        <c:delete val="0"/>
        <c:axPos val="r"/>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947107328"/>
        <c:crosses val="autoZero"/>
        <c:crossBetween val="between"/>
      </c:valAx>
      <c:valAx>
        <c:axId val="1947114048"/>
        <c:scaling>
          <c:orientation val="minMax"/>
          <c:max val="0.30000000000000004"/>
          <c:min val="-5.000000000000001E-2"/>
        </c:scaling>
        <c:delete val="0"/>
        <c:axPos val="r"/>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60287872"/>
        <c:crosses val="max"/>
        <c:crossBetween val="between"/>
      </c:valAx>
      <c:catAx>
        <c:axId val="260287872"/>
        <c:scaling>
          <c:orientation val="minMax"/>
        </c:scaling>
        <c:delete val="1"/>
        <c:axPos val="b"/>
        <c:numFmt formatCode="General" sourceLinked="1"/>
        <c:majorTickMark val="none"/>
        <c:minorTickMark val="none"/>
        <c:tickLblPos val="nextTo"/>
        <c:crossAx val="1947114048"/>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3"/>
                </a:solidFill>
              </a:rPr>
              <a:t>City of Parramatta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tx>
            <c:strRef>
              <c:f>'City of Parramatta'!$B$36:$C$36</c:f>
              <c:strCache>
                <c:ptCount val="2"/>
                <c:pt idx="0">
                  <c:v>Operating Result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'City of Parramatta'!$D$35:$F$35</c:f>
              <c:strCache>
                <c:ptCount val="3"/>
                <c:pt idx="0">
                  <c:v> Budget FY 25 </c:v>
                </c:pt>
                <c:pt idx="1">
                  <c:v> Actual FY 25 </c:v>
                </c:pt>
                <c:pt idx="2">
                  <c:v> Actual FY 24 </c:v>
                </c:pt>
              </c:strCache>
            </c:strRef>
          </c:cat>
          <c:val>
            <c:numRef>
              <c:f>'City of Parramatta'!$D$36:$F$36</c:f>
              <c:numCache>
                <c:formatCode>_ * #,##0_ ;_ * \-#,##0_ ;_ * "-"??_ ;_ @_ </c:formatCode>
                <c:ptCount val="3"/>
                <c:pt idx="0">
                  <c:v>81566</c:v>
                </c:pt>
                <c:pt idx="1">
                  <c:v>55652</c:v>
                </c:pt>
                <c:pt idx="2">
                  <c:v>88558</c:v>
                </c:pt>
              </c:numCache>
            </c:numRef>
          </c:val>
          <c:extLst>
            <c:ext xmlns:c16="http://schemas.microsoft.com/office/drawing/2014/chart" uri="{C3380CC4-5D6E-409C-BE32-E72D297353CC}">
              <c16:uniqueId val="{00000000-7557-EA48-8598-6871E2BC2B72}"/>
            </c:ext>
          </c:extLst>
        </c:ser>
        <c:ser>
          <c:idx val="1"/>
          <c:order val="1"/>
          <c:tx>
            <c:strRef>
              <c:f>'City of Parramatta'!$B$37:$C$37</c:f>
              <c:strCache>
                <c:ptCount val="2"/>
                <c:pt idx="0">
                  <c:v>Total Expenses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'City of Parramatta'!$D$35:$F$35</c:f>
              <c:strCache>
                <c:ptCount val="3"/>
                <c:pt idx="0">
                  <c:v> Budget FY 25 </c:v>
                </c:pt>
                <c:pt idx="1">
                  <c:v> Actual FY 25 </c:v>
                </c:pt>
                <c:pt idx="2">
                  <c:v> Actual FY 24 </c:v>
                </c:pt>
              </c:strCache>
            </c:strRef>
          </c:cat>
          <c:val>
            <c:numRef>
              <c:f>'City of Parramatta'!$D$37:$F$37</c:f>
              <c:numCache>
                <c:formatCode>_ * #,##0_ ;_ * \-#,##0_ ;_ * "-"??_ ;_ @_ </c:formatCode>
                <c:ptCount val="3"/>
                <c:pt idx="0">
                  <c:v>340282</c:v>
                </c:pt>
                <c:pt idx="1">
                  <c:v>383552</c:v>
                </c:pt>
                <c:pt idx="2">
                  <c:v>383268</c:v>
                </c:pt>
              </c:numCache>
            </c:numRef>
          </c:val>
          <c:extLst>
            <c:ext xmlns:c16="http://schemas.microsoft.com/office/drawing/2014/chart" uri="{C3380CC4-5D6E-409C-BE32-E72D297353CC}">
              <c16:uniqueId val="{00000001-7557-EA48-8598-6871E2BC2B72}"/>
            </c:ext>
          </c:extLst>
        </c:ser>
        <c:dLbls>
          <c:dLblPos val="inEnd"/>
          <c:showLegendKey val="0"/>
          <c:showVal val="1"/>
          <c:showCatName val="0"/>
          <c:showSerName val="0"/>
          <c:showPercent val="0"/>
          <c:showBubbleSize val="0"/>
        </c:dLbls>
        <c:gapWidth val="150"/>
        <c:overlap val="100"/>
        <c:axId val="260440960"/>
        <c:axId val="1846911744"/>
      </c:barChart>
      <c:lineChart>
        <c:grouping val="standard"/>
        <c:varyColors val="0"/>
        <c:ser>
          <c:idx val="5"/>
          <c:order val="5"/>
          <c:tx>
            <c:strRef>
              <c:f>'City of Parramatta'!$B$41:$C$41</c:f>
              <c:strCache>
                <c:ptCount val="2"/>
                <c:pt idx="0">
                  <c:v>Total Revenue </c:v>
                </c:pt>
              </c:strCache>
            </c:strRef>
          </c:tx>
          <c:spPr>
            <a:ln w="28575" cap="rnd">
              <a:no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'City of Parramatta'!$D$35:$F$35</c:f>
              <c:strCache>
                <c:ptCount val="3"/>
                <c:pt idx="0">
                  <c:v> Budget FY 25 </c:v>
                </c:pt>
                <c:pt idx="1">
                  <c:v> Actual FY 25 </c:v>
                </c:pt>
                <c:pt idx="2">
                  <c:v> Actual FY 24 </c:v>
                </c:pt>
              </c:strCache>
            </c:strRef>
          </c:cat>
          <c:val>
            <c:numRef>
              <c:f>'City of Parramatta'!$D$41:$F$41</c:f>
              <c:numCache>
                <c:formatCode>_ * #,##0_ ;_ * \-#,##0_ ;_ * "-"??_ ;_ @_ </c:formatCode>
                <c:ptCount val="3"/>
                <c:pt idx="0">
                  <c:v>421848</c:v>
                </c:pt>
                <c:pt idx="1">
                  <c:v>439204</c:v>
                </c:pt>
                <c:pt idx="2">
                  <c:v>471826</c:v>
                </c:pt>
              </c:numCache>
            </c:numRef>
          </c:val>
          <c:smooth val="0"/>
          <c:extLst>
            <c:ext xmlns:c16="http://schemas.microsoft.com/office/drawing/2014/chart" uri="{C3380CC4-5D6E-409C-BE32-E72D297353CC}">
              <c16:uniqueId val="{00000007-7557-EA48-8598-6871E2BC2B72}"/>
            </c:ext>
          </c:extLst>
        </c:ser>
        <c:dLbls>
          <c:showLegendKey val="0"/>
          <c:showVal val="0"/>
          <c:showCatName val="0"/>
          <c:showSerName val="0"/>
          <c:showPercent val="0"/>
          <c:showBubbleSize val="0"/>
        </c:dLbls>
        <c:marker val="1"/>
        <c:smooth val="0"/>
        <c:axId val="260440960"/>
        <c:axId val="1846911744"/>
      </c:lineChart>
      <c:lineChart>
        <c:grouping val="standard"/>
        <c:varyColors val="0"/>
        <c:ser>
          <c:idx val="2"/>
          <c:order val="2"/>
          <c:tx>
            <c:strRef>
              <c:f>'City of Parramatta'!$B$38:$C$38</c:f>
              <c:strCache>
                <c:ptCount val="2"/>
                <c:pt idx="0">
                  <c:v>NP % over Total Revenue</c:v>
                </c:pt>
              </c:strCache>
            </c:strRef>
          </c:tx>
          <c:spPr>
            <a:ln w="28575" cap="rnd">
              <a:solidFill>
                <a:schemeClr val="accent3"/>
              </a:solidFill>
              <a:round/>
            </a:ln>
            <a:effectLst/>
          </c:spPr>
          <c:marker>
            <c:symbol val="circle"/>
            <c:size val="6"/>
            <c:spPr>
              <a:solidFill>
                <a:schemeClr val="accent3"/>
              </a:solidFill>
              <a:ln w="9525">
                <a:solidFill>
                  <a:schemeClr val="accent3"/>
                </a:solidFill>
              </a:ln>
              <a:effectLst/>
            </c:spPr>
          </c:marker>
          <c:dLbls>
            <c:dLbl>
              <c:idx val="2"/>
              <c:layout>
                <c:manualLayout>
                  <c:x val="-1.934938644356117E-2"/>
                  <c:y val="-4.569518716577539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12F-4FEC-AC02-A6768E8E9BD9}"/>
                </c:ext>
              </c:extLst>
            </c:dLbl>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'City of Parramatta'!$D$35:$F$35</c:f>
              <c:strCache>
                <c:ptCount val="3"/>
                <c:pt idx="0">
                  <c:v> Budget FY 25 </c:v>
                </c:pt>
                <c:pt idx="1">
                  <c:v> Actual FY 25 </c:v>
                </c:pt>
                <c:pt idx="2">
                  <c:v> Actual FY 24 </c:v>
                </c:pt>
              </c:strCache>
            </c:strRef>
          </c:cat>
          <c:val>
            <c:numRef>
              <c:f>'City of Parramatta'!$D$38:$F$38</c:f>
              <c:numCache>
                <c:formatCode>0%</c:formatCode>
                <c:ptCount val="3"/>
                <c:pt idx="0">
                  <c:v>0.19335400428590394</c:v>
                </c:pt>
                <c:pt idx="1">
                  <c:v>0.12671104999043725</c:v>
                </c:pt>
                <c:pt idx="2">
                  <c:v>0.18769207292518852</c:v>
                </c:pt>
              </c:numCache>
            </c:numRef>
          </c:val>
          <c:smooth val="0"/>
          <c:extLst>
            <c:ext xmlns:c16="http://schemas.microsoft.com/office/drawing/2014/chart" uri="{C3380CC4-5D6E-409C-BE32-E72D297353CC}">
              <c16:uniqueId val="{00000002-7557-EA48-8598-6871E2BC2B72}"/>
            </c:ext>
          </c:extLst>
        </c:ser>
        <c:ser>
          <c:idx val="3"/>
          <c:order val="3"/>
          <c:tx>
            <c:strRef>
              <c:f>'City of Parramatta'!$B$39:$C$39</c:f>
              <c:strCache>
                <c:ptCount val="2"/>
                <c:pt idx="0">
                  <c:v>NP before Govt Grant % over Total Revenue</c:v>
                </c:pt>
              </c:strCache>
            </c:strRef>
          </c:tx>
          <c:spPr>
            <a:ln w="28575" cap="rnd">
              <a:solidFill>
                <a:schemeClr val="accent4"/>
              </a:solidFill>
              <a:round/>
            </a:ln>
            <a:effectLst/>
          </c:spPr>
          <c:marker>
            <c:symbol val="circle"/>
            <c:size val="6"/>
            <c:spPr>
              <a:solidFill>
                <a:schemeClr val="accent4"/>
              </a:solidFill>
              <a:ln w="9525">
                <a:solidFill>
                  <a:schemeClr val="accent4"/>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'City of Parramatta'!$D$35:$F$35</c:f>
              <c:strCache>
                <c:ptCount val="3"/>
                <c:pt idx="0">
                  <c:v> Budget FY 25 </c:v>
                </c:pt>
                <c:pt idx="1">
                  <c:v> Actual FY 25 </c:v>
                </c:pt>
                <c:pt idx="2">
                  <c:v> Actual FY 24 </c:v>
                </c:pt>
              </c:strCache>
            </c:strRef>
          </c:cat>
          <c:val>
            <c:numRef>
              <c:f>'City of Parramatta'!$D$39:$F$39</c:f>
              <c:numCache>
                <c:formatCode>0%</c:formatCode>
                <c:ptCount val="3"/>
                <c:pt idx="0">
                  <c:v>1.3829625836794295E-2</c:v>
                </c:pt>
                <c:pt idx="1">
                  <c:v>-3.0842159907468965E-2</c:v>
                </c:pt>
                <c:pt idx="2">
                  <c:v>6.5926845913535925E-2</c:v>
                </c:pt>
              </c:numCache>
            </c:numRef>
          </c:val>
          <c:smooth val="0"/>
          <c:extLst>
            <c:ext xmlns:c16="http://schemas.microsoft.com/office/drawing/2014/chart" uri="{C3380CC4-5D6E-409C-BE32-E72D297353CC}">
              <c16:uniqueId val="{00000003-7557-EA48-8598-6871E2BC2B72}"/>
            </c:ext>
          </c:extLst>
        </c:ser>
        <c:ser>
          <c:idx val="4"/>
          <c:order val="4"/>
          <c:tx>
            <c:strRef>
              <c:f>'City of Parramatta'!$B$40:$C$40</c:f>
              <c:strCache>
                <c:ptCount val="2"/>
                <c:pt idx="0">
                  <c:v>Direct Result from Operations % over Direct Revenue</c:v>
                </c:pt>
              </c:strCache>
            </c:strRef>
          </c:tx>
          <c:spPr>
            <a:ln w="28575" cap="rnd">
              <a:solidFill>
                <a:schemeClr val="accent5"/>
              </a:solidFill>
              <a:round/>
            </a:ln>
            <a:effectLst/>
          </c:spPr>
          <c:marker>
            <c:symbol val="circle"/>
            <c:size val="6"/>
            <c:spPr>
              <a:solidFill>
                <a:schemeClr val="accent5"/>
              </a:solidFill>
              <a:ln w="9525">
                <a:solidFill>
                  <a:schemeClr val="accent5"/>
                </a:solidFill>
              </a:ln>
              <a:effectLst/>
            </c:spPr>
          </c:marker>
          <c:dLbls>
            <c:dLbl>
              <c:idx val="0"/>
              <c:layout>
                <c:manualLayout>
                  <c:x val="-2.692992971582911E-2"/>
                  <c:y val="4.0347593582887697E-2"/>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512F-4FEC-AC02-A6768E8E9BD9}"/>
                </c:ext>
              </c:extLst>
            </c:dLbl>
            <c:dLbl>
              <c:idx val="1"/>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6="http://schemas.microsoft.com/office/drawing/2014/chart" uri="{C3380CC4-5D6E-409C-BE32-E72D297353CC}">
                  <c16:uniqueId val="{00000005-7557-EA48-8598-6871E2BC2B72}"/>
                </c:ext>
              </c:extLst>
            </c:dLbl>
            <c:dLbl>
              <c:idx val="2"/>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6="http://schemas.microsoft.com/office/drawing/2014/chart" uri="{C3380CC4-5D6E-409C-BE32-E72D297353CC}">
                  <c16:uniqueId val="{00000006-7557-EA48-8598-6871E2BC2B72}"/>
                </c:ext>
              </c:extLst>
            </c:dLbl>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'City of Parramatta'!$D$35:$F$35</c:f>
              <c:strCache>
                <c:ptCount val="3"/>
                <c:pt idx="0">
                  <c:v> Budget FY 25 </c:v>
                </c:pt>
                <c:pt idx="1">
                  <c:v> Actual FY 25 </c:v>
                </c:pt>
                <c:pt idx="2">
                  <c:v> Actual FY 24 </c:v>
                </c:pt>
              </c:strCache>
            </c:strRef>
          </c:cat>
          <c:val>
            <c:numRef>
              <c:f>'City of Parramatta'!$D$40:$F$40</c:f>
              <c:numCache>
                <c:formatCode>0%</c:formatCode>
                <c:ptCount val="3"/>
                <c:pt idx="0">
                  <c:v>0.42254369147402276</c:v>
                </c:pt>
                <c:pt idx="1">
                  <c:v>0.17841671888810748</c:v>
                </c:pt>
                <c:pt idx="2">
                  <c:v>0.1408714906045109</c:v>
                </c:pt>
              </c:numCache>
            </c:numRef>
          </c:val>
          <c:smooth val="0"/>
          <c:extLst>
            <c:ext xmlns:c16="http://schemas.microsoft.com/office/drawing/2014/chart" uri="{C3380CC4-5D6E-409C-BE32-E72D297353CC}">
              <c16:uniqueId val="{00000004-7557-EA48-8598-6871E2BC2B72}"/>
            </c:ext>
          </c:extLst>
        </c:ser>
        <c:dLbls>
          <c:showLegendKey val="0"/>
          <c:showVal val="1"/>
          <c:showCatName val="0"/>
          <c:showSerName val="0"/>
          <c:showPercent val="0"/>
          <c:showBubbleSize val="0"/>
        </c:dLbls>
        <c:marker val="1"/>
        <c:smooth val="0"/>
        <c:axId val="1906705728"/>
        <c:axId val="1910355072"/>
      </c:lineChart>
      <c:catAx>
        <c:axId val="260440960"/>
        <c:scaling>
          <c:orientation val="maxMin"/>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846911744"/>
        <c:crosses val="autoZero"/>
        <c:auto val="1"/>
        <c:lblAlgn val="ctr"/>
        <c:lblOffset val="100"/>
        <c:noMultiLvlLbl val="0"/>
      </c:catAx>
      <c:valAx>
        <c:axId val="1846911744"/>
        <c:scaling>
          <c:orientation val="minMax"/>
        </c:scaling>
        <c:delete val="0"/>
        <c:axPos val="r"/>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60440960"/>
        <c:crosses val="autoZero"/>
        <c:crossBetween val="between"/>
      </c:valAx>
      <c:valAx>
        <c:axId val="1910355072"/>
        <c:scaling>
          <c:orientation val="minMax"/>
          <c:max val="0.5"/>
        </c:scaling>
        <c:delete val="0"/>
        <c:axPos val="r"/>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906705728"/>
        <c:crosses val="max"/>
        <c:crossBetween val="between"/>
      </c:valAx>
      <c:catAx>
        <c:axId val="1906705728"/>
        <c:scaling>
          <c:orientation val="minMax"/>
        </c:scaling>
        <c:delete val="1"/>
        <c:axPos val="b"/>
        <c:numFmt formatCode="General" sourceLinked="1"/>
        <c:majorTickMark val="none"/>
        <c:minorTickMark val="none"/>
        <c:tickLblPos val="nextTo"/>
        <c:crossAx val="1910355072"/>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solidFill>
                  <a:schemeClr val="accent2"/>
                </a:solidFill>
              </a:rPr>
              <a:t>Hill Shire</a:t>
            </a:r>
            <a:r>
              <a:rPr lang="en-US" b="1" baseline="0">
                <a:solidFill>
                  <a:schemeClr val="accent2"/>
                </a:solidFill>
              </a:rPr>
              <a:t> Council</a:t>
            </a:r>
            <a:endParaRPr lang="en-US" b="1">
              <a:solidFill>
                <a:schemeClr val="accent2"/>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tx>
            <c:strRef>
              <c:f>'Hill Shire Council'!$B$36:$C$36</c:f>
              <c:strCache>
                <c:ptCount val="2"/>
                <c:pt idx="0">
                  <c:v>Operating Result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'Hill Shire Council'!$D$35:$F$35</c:f>
              <c:strCache>
                <c:ptCount val="3"/>
                <c:pt idx="0">
                  <c:v> Budget FY 25 </c:v>
                </c:pt>
                <c:pt idx="1">
                  <c:v> Actual FY 25 </c:v>
                </c:pt>
                <c:pt idx="2">
                  <c:v> Actual FY 24 </c:v>
                </c:pt>
              </c:strCache>
            </c:strRef>
          </c:cat>
          <c:val>
            <c:numRef>
              <c:f>'Hill Shire Council'!$D$36:$F$36</c:f>
              <c:numCache>
                <c:formatCode>_ * #,##0_ ;_ * \-#,##0_ ;_ * "-"??_ ;_ @_ </c:formatCode>
                <c:ptCount val="3"/>
                <c:pt idx="0">
                  <c:v>116251</c:v>
                </c:pt>
                <c:pt idx="1">
                  <c:v>196394</c:v>
                </c:pt>
                <c:pt idx="2">
                  <c:v>161711</c:v>
                </c:pt>
              </c:numCache>
            </c:numRef>
          </c:val>
          <c:extLst>
            <c:ext xmlns:c16="http://schemas.microsoft.com/office/drawing/2014/chart" uri="{C3380CC4-5D6E-409C-BE32-E72D297353CC}">
              <c16:uniqueId val="{00000000-4E5B-B54D-8E26-FBB434EB8389}"/>
            </c:ext>
          </c:extLst>
        </c:ser>
        <c:ser>
          <c:idx val="1"/>
          <c:order val="1"/>
          <c:tx>
            <c:strRef>
              <c:f>'Hill Shire Council'!$B$37:$C$37</c:f>
              <c:strCache>
                <c:ptCount val="2"/>
                <c:pt idx="0">
                  <c:v>Total Expenses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'Hill Shire Council'!$D$35:$F$35</c:f>
              <c:strCache>
                <c:ptCount val="3"/>
                <c:pt idx="0">
                  <c:v> Budget FY 25 </c:v>
                </c:pt>
                <c:pt idx="1">
                  <c:v> Actual FY 25 </c:v>
                </c:pt>
                <c:pt idx="2">
                  <c:v> Actual FY 24 </c:v>
                </c:pt>
              </c:strCache>
            </c:strRef>
          </c:cat>
          <c:val>
            <c:numRef>
              <c:f>'Hill Shire Council'!$D$37:$F$37</c:f>
              <c:numCache>
                <c:formatCode>_ * #,##0_ ;_ * \-#,##0_ ;_ * "-"??_ ;_ @_ </c:formatCode>
                <c:ptCount val="3"/>
                <c:pt idx="0">
                  <c:v>208468</c:v>
                </c:pt>
                <c:pt idx="1">
                  <c:v>221057</c:v>
                </c:pt>
                <c:pt idx="2">
                  <c:v>221772</c:v>
                </c:pt>
              </c:numCache>
            </c:numRef>
          </c:val>
          <c:extLst>
            <c:ext xmlns:c16="http://schemas.microsoft.com/office/drawing/2014/chart" uri="{C3380CC4-5D6E-409C-BE32-E72D297353CC}">
              <c16:uniqueId val="{00000001-4E5B-B54D-8E26-FBB434EB8389}"/>
            </c:ext>
          </c:extLst>
        </c:ser>
        <c:dLbls>
          <c:dLblPos val="inEnd"/>
          <c:showLegendKey val="0"/>
          <c:showVal val="1"/>
          <c:showCatName val="0"/>
          <c:showSerName val="0"/>
          <c:showPercent val="0"/>
          <c:showBubbleSize val="0"/>
        </c:dLbls>
        <c:gapWidth val="150"/>
        <c:overlap val="100"/>
        <c:axId val="1910283264"/>
        <c:axId val="264442240"/>
      </c:barChart>
      <c:lineChart>
        <c:grouping val="standard"/>
        <c:varyColors val="0"/>
        <c:ser>
          <c:idx val="5"/>
          <c:order val="5"/>
          <c:tx>
            <c:strRef>
              <c:f>'Hill Shire Council'!$B$41:$C$41</c:f>
              <c:strCache>
                <c:ptCount val="2"/>
                <c:pt idx="0">
                  <c:v>Total Revenue </c:v>
                </c:pt>
              </c:strCache>
            </c:strRef>
          </c:tx>
          <c:spPr>
            <a:ln w="28575" cap="rnd">
              <a:noFill/>
              <a:round/>
            </a:ln>
            <a:effectLst/>
          </c:spPr>
          <c:marker>
            <c:symbol val="none"/>
          </c:marker>
          <c:dLbls>
            <c:dLbl>
              <c:idx val="2"/>
              <c:layout>
                <c:manualLayout>
                  <c:x val="-3.0535546041097688E-2"/>
                  <c:y val="-1.592539986843271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4E5B-B54D-8E26-FBB434EB8389}"/>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'Hill Shire Council'!$D$35:$F$35</c:f>
              <c:strCache>
                <c:ptCount val="3"/>
                <c:pt idx="0">
                  <c:v> Budget FY 25 </c:v>
                </c:pt>
                <c:pt idx="1">
                  <c:v> Actual FY 25 </c:v>
                </c:pt>
                <c:pt idx="2">
                  <c:v> Actual FY 24 </c:v>
                </c:pt>
              </c:strCache>
            </c:strRef>
          </c:cat>
          <c:val>
            <c:numRef>
              <c:f>'Hill Shire Council'!$D$41:$F$41</c:f>
              <c:numCache>
                <c:formatCode>_ * #,##0_ ;_ * \-#,##0_ ;_ * "-"??_ ;_ @_ </c:formatCode>
                <c:ptCount val="3"/>
                <c:pt idx="0">
                  <c:v>324719</c:v>
                </c:pt>
                <c:pt idx="1">
                  <c:v>417451</c:v>
                </c:pt>
                <c:pt idx="2">
                  <c:v>383483</c:v>
                </c:pt>
              </c:numCache>
            </c:numRef>
          </c:val>
          <c:smooth val="0"/>
          <c:extLst>
            <c:ext xmlns:c16="http://schemas.microsoft.com/office/drawing/2014/chart" uri="{C3380CC4-5D6E-409C-BE32-E72D297353CC}">
              <c16:uniqueId val="{00000007-4E5B-B54D-8E26-FBB434EB8389}"/>
            </c:ext>
          </c:extLst>
        </c:ser>
        <c:dLbls>
          <c:showLegendKey val="0"/>
          <c:showVal val="0"/>
          <c:showCatName val="0"/>
          <c:showSerName val="0"/>
          <c:showPercent val="0"/>
          <c:showBubbleSize val="0"/>
        </c:dLbls>
        <c:marker val="1"/>
        <c:smooth val="0"/>
        <c:axId val="1910283264"/>
        <c:axId val="264442240"/>
      </c:lineChart>
      <c:lineChart>
        <c:grouping val="standard"/>
        <c:varyColors val="0"/>
        <c:ser>
          <c:idx val="2"/>
          <c:order val="2"/>
          <c:tx>
            <c:strRef>
              <c:f>'Hill Shire Council'!$B$38:$C$38</c:f>
              <c:strCache>
                <c:ptCount val="2"/>
                <c:pt idx="0">
                  <c:v>NP % over Total Revenue</c:v>
                </c:pt>
              </c:strCache>
            </c:strRef>
          </c:tx>
          <c:spPr>
            <a:ln w="28575" cap="rnd">
              <a:solidFill>
                <a:schemeClr val="accent3"/>
              </a:solidFill>
              <a:round/>
            </a:ln>
            <a:effectLst/>
          </c:spPr>
          <c:marker>
            <c:symbol val="circle"/>
            <c:size val="6"/>
            <c:spPr>
              <a:solidFill>
                <a:schemeClr val="accent3"/>
              </a:solidFill>
              <a:ln w="9525">
                <a:solidFill>
                  <a:schemeClr val="accent3"/>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'Hill Shire Council'!$D$35:$F$35</c:f>
              <c:strCache>
                <c:ptCount val="3"/>
                <c:pt idx="0">
                  <c:v> Budget FY 25 </c:v>
                </c:pt>
                <c:pt idx="1">
                  <c:v> Actual FY 25 </c:v>
                </c:pt>
                <c:pt idx="2">
                  <c:v> Actual FY 24 </c:v>
                </c:pt>
              </c:strCache>
            </c:strRef>
          </c:cat>
          <c:val>
            <c:numRef>
              <c:f>'Hill Shire Council'!$D$38:$F$38</c:f>
              <c:numCache>
                <c:formatCode>0%</c:formatCode>
                <c:ptCount val="3"/>
                <c:pt idx="0">
                  <c:v>0.35800492117800314</c:v>
                </c:pt>
                <c:pt idx="1">
                  <c:v>0.47046000608454647</c:v>
                </c:pt>
                <c:pt idx="2">
                  <c:v>0.42169014011051337</c:v>
                </c:pt>
              </c:numCache>
            </c:numRef>
          </c:val>
          <c:smooth val="0"/>
          <c:extLst>
            <c:ext xmlns:c16="http://schemas.microsoft.com/office/drawing/2014/chart" uri="{C3380CC4-5D6E-409C-BE32-E72D297353CC}">
              <c16:uniqueId val="{00000002-4E5B-B54D-8E26-FBB434EB8389}"/>
            </c:ext>
          </c:extLst>
        </c:ser>
        <c:ser>
          <c:idx val="3"/>
          <c:order val="3"/>
          <c:tx>
            <c:strRef>
              <c:f>'Hill Shire Council'!$B$39:$C$39</c:f>
              <c:strCache>
                <c:ptCount val="2"/>
                <c:pt idx="0">
                  <c:v>NP before Govt Grant % over Total Revenue</c:v>
                </c:pt>
              </c:strCache>
            </c:strRef>
          </c:tx>
          <c:spPr>
            <a:ln w="28575" cap="rnd">
              <a:solidFill>
                <a:schemeClr val="accent4"/>
              </a:solidFill>
              <a:round/>
            </a:ln>
            <a:effectLst/>
          </c:spPr>
          <c:marker>
            <c:symbol val="circle"/>
            <c:size val="6"/>
            <c:spPr>
              <a:solidFill>
                <a:schemeClr val="accent4"/>
              </a:solidFill>
              <a:ln w="9525">
                <a:solidFill>
                  <a:schemeClr val="accent4"/>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'Hill Shire Council'!$D$35:$F$35</c:f>
              <c:strCache>
                <c:ptCount val="3"/>
                <c:pt idx="0">
                  <c:v> Budget FY 25 </c:v>
                </c:pt>
                <c:pt idx="1">
                  <c:v> Actual FY 25 </c:v>
                </c:pt>
                <c:pt idx="2">
                  <c:v> Actual FY 24 </c:v>
                </c:pt>
              </c:strCache>
            </c:strRef>
          </c:cat>
          <c:val>
            <c:numRef>
              <c:f>'Hill Shire Council'!$D$39:$F$39</c:f>
              <c:numCache>
                <c:formatCode>0%</c:formatCode>
                <c:ptCount val="3"/>
                <c:pt idx="0">
                  <c:v>4.2643023660457198E-2</c:v>
                </c:pt>
                <c:pt idx="1">
                  <c:v>6.9972284172274107E-2</c:v>
                </c:pt>
                <c:pt idx="2">
                  <c:v>1.8485825968817392E-2</c:v>
                </c:pt>
              </c:numCache>
            </c:numRef>
          </c:val>
          <c:smooth val="0"/>
          <c:extLst>
            <c:ext xmlns:c16="http://schemas.microsoft.com/office/drawing/2014/chart" uri="{C3380CC4-5D6E-409C-BE32-E72D297353CC}">
              <c16:uniqueId val="{00000003-4E5B-B54D-8E26-FBB434EB8389}"/>
            </c:ext>
          </c:extLst>
        </c:ser>
        <c:ser>
          <c:idx val="4"/>
          <c:order val="4"/>
          <c:tx>
            <c:strRef>
              <c:f>'Hill Shire Council'!$B$40:$C$40</c:f>
              <c:strCache>
                <c:ptCount val="2"/>
                <c:pt idx="0">
                  <c:v>Direct Result from Operations % over Direct Revenue</c:v>
                </c:pt>
              </c:strCache>
            </c:strRef>
          </c:tx>
          <c:spPr>
            <a:ln w="28575" cap="rnd">
              <a:solidFill>
                <a:schemeClr val="accent5"/>
              </a:solidFill>
              <a:round/>
            </a:ln>
            <a:effectLst/>
          </c:spPr>
          <c:marker>
            <c:symbol val="circle"/>
            <c:size val="6"/>
            <c:spPr>
              <a:solidFill>
                <a:schemeClr val="accent5"/>
              </a:solidFill>
              <a:ln w="9525">
                <a:solidFill>
                  <a:schemeClr val="accent5"/>
                </a:solidFill>
              </a:ln>
              <a:effectLst/>
            </c:spPr>
          </c:marker>
          <c:dLbls>
            <c:dLbl>
              <c:idx val="2"/>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solidFill>
                      <a:latin typeface="+mn-lt"/>
                      <a:ea typeface="+mn-ea"/>
                      <a:cs typeface="+mn-cs"/>
                    </a:defRPr>
                  </a:pPr>
                  <a:endParaRPr lang="en-US"/>
                </a:p>
              </c:txPr>
              <c:dLblPos val="b"/>
              <c:showLegendKey val="0"/>
              <c:showVal val="1"/>
              <c:showCatName val="0"/>
              <c:showSerName val="0"/>
              <c:showPercent val="0"/>
              <c:showBubbleSize val="0"/>
              <c:extLst>
                <c:ext xmlns:c16="http://schemas.microsoft.com/office/drawing/2014/chart" uri="{C3380CC4-5D6E-409C-BE32-E72D297353CC}">
                  <c16:uniqueId val="{00000006-4E5B-B54D-8E26-FBB434EB8389}"/>
                </c:ext>
              </c:extLst>
            </c:dLbl>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'Hill Shire Council'!$D$35:$F$35</c:f>
              <c:strCache>
                <c:ptCount val="3"/>
                <c:pt idx="0">
                  <c:v> Budget FY 25 </c:v>
                </c:pt>
                <c:pt idx="1">
                  <c:v> Actual FY 25 </c:v>
                </c:pt>
                <c:pt idx="2">
                  <c:v> Actual FY 24 </c:v>
                </c:pt>
              </c:strCache>
            </c:strRef>
          </c:cat>
          <c:val>
            <c:numRef>
              <c:f>'Hill Shire Council'!$D$40:$F$40</c:f>
              <c:numCache>
                <c:formatCode>0%</c:formatCode>
                <c:ptCount val="3"/>
                <c:pt idx="0">
                  <c:v>0.41669292725985113</c:v>
                </c:pt>
                <c:pt idx="1">
                  <c:v>0.53167547642421376</c:v>
                </c:pt>
                <c:pt idx="2">
                  <c:v>0.54624529106546305</c:v>
                </c:pt>
              </c:numCache>
            </c:numRef>
          </c:val>
          <c:smooth val="0"/>
          <c:extLst>
            <c:ext xmlns:c16="http://schemas.microsoft.com/office/drawing/2014/chart" uri="{C3380CC4-5D6E-409C-BE32-E72D297353CC}">
              <c16:uniqueId val="{00000004-4E5B-B54D-8E26-FBB434EB8389}"/>
            </c:ext>
          </c:extLst>
        </c:ser>
        <c:dLbls>
          <c:showLegendKey val="0"/>
          <c:showVal val="1"/>
          <c:showCatName val="0"/>
          <c:showSerName val="0"/>
          <c:showPercent val="0"/>
          <c:showBubbleSize val="0"/>
        </c:dLbls>
        <c:marker val="1"/>
        <c:smooth val="0"/>
        <c:axId val="1465797248"/>
        <c:axId val="1910220864"/>
      </c:lineChart>
      <c:catAx>
        <c:axId val="1910283264"/>
        <c:scaling>
          <c:orientation val="maxMin"/>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264442240"/>
        <c:crosses val="autoZero"/>
        <c:auto val="1"/>
        <c:lblAlgn val="ctr"/>
        <c:lblOffset val="100"/>
        <c:noMultiLvlLbl val="0"/>
      </c:catAx>
      <c:valAx>
        <c:axId val="264442240"/>
        <c:scaling>
          <c:orientation val="minMax"/>
        </c:scaling>
        <c:delete val="0"/>
        <c:axPos val="r"/>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910283264"/>
        <c:crosses val="autoZero"/>
        <c:crossBetween val="between"/>
      </c:valAx>
      <c:valAx>
        <c:axId val="1910220864"/>
        <c:scaling>
          <c:orientation val="minMax"/>
        </c:scaling>
        <c:delete val="0"/>
        <c:axPos val="r"/>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465797248"/>
        <c:crosses val="max"/>
        <c:crossBetween val="between"/>
      </c:valAx>
      <c:catAx>
        <c:axId val="1465797248"/>
        <c:scaling>
          <c:orientation val="minMax"/>
        </c:scaling>
        <c:delete val="1"/>
        <c:axPos val="b"/>
        <c:numFmt formatCode="General" sourceLinked="1"/>
        <c:majorTickMark val="none"/>
        <c:minorTickMark val="none"/>
        <c:tickLblPos val="nextTo"/>
        <c:crossAx val="1910220864"/>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5"/>
                </a:solidFill>
              </a:rPr>
              <a:t>Hornsby Council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tx>
            <c:strRef>
              <c:f>'Hornsby Council'!$B$36:$C$36</c:f>
              <c:strCache>
                <c:ptCount val="2"/>
                <c:pt idx="0">
                  <c:v>Operating Result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'Hornsby Council'!$D$35:$F$35</c:f>
              <c:strCache>
                <c:ptCount val="3"/>
                <c:pt idx="0">
                  <c:v> Budget FY 25 </c:v>
                </c:pt>
                <c:pt idx="1">
                  <c:v> Actual FY 25 </c:v>
                </c:pt>
                <c:pt idx="2">
                  <c:v> Actual FY 24 </c:v>
                </c:pt>
              </c:strCache>
            </c:strRef>
          </c:cat>
          <c:val>
            <c:numRef>
              <c:f>'Hornsby Council'!$D$36:$F$36</c:f>
              <c:numCache>
                <c:formatCode>_ * #,##0_ ;_ * \-#,##0_ ;_ * "-"??_ ;_ @_ </c:formatCode>
                <c:ptCount val="3"/>
                <c:pt idx="0">
                  <c:v>17145</c:v>
                </c:pt>
                <c:pt idx="1">
                  <c:v>62513</c:v>
                </c:pt>
                <c:pt idx="2">
                  <c:v>-27997</c:v>
                </c:pt>
              </c:numCache>
            </c:numRef>
          </c:val>
          <c:extLst>
            <c:ext xmlns:c16="http://schemas.microsoft.com/office/drawing/2014/chart" uri="{C3380CC4-5D6E-409C-BE32-E72D297353CC}">
              <c16:uniqueId val="{00000000-C0D0-7542-A355-55848F2C2F7B}"/>
            </c:ext>
          </c:extLst>
        </c:ser>
        <c:ser>
          <c:idx val="1"/>
          <c:order val="1"/>
          <c:tx>
            <c:strRef>
              <c:f>'Hornsby Council'!$B$37:$C$37</c:f>
              <c:strCache>
                <c:ptCount val="2"/>
                <c:pt idx="0">
                  <c:v>Total Expenses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'Hornsby Council'!$D$35:$F$35</c:f>
              <c:strCache>
                <c:ptCount val="3"/>
                <c:pt idx="0">
                  <c:v> Budget FY 25 </c:v>
                </c:pt>
                <c:pt idx="1">
                  <c:v> Actual FY 25 </c:v>
                </c:pt>
                <c:pt idx="2">
                  <c:v> Actual FY 24 </c:v>
                </c:pt>
              </c:strCache>
            </c:strRef>
          </c:cat>
          <c:val>
            <c:numRef>
              <c:f>'Hornsby Council'!$D$37:$F$37</c:f>
              <c:numCache>
                <c:formatCode>_ * #,##0_ ;_ * \-#,##0_ ;_ * "-"??_ ;_ @_ </c:formatCode>
                <c:ptCount val="3"/>
                <c:pt idx="0">
                  <c:v>160340</c:v>
                </c:pt>
                <c:pt idx="1">
                  <c:v>162608</c:v>
                </c:pt>
                <c:pt idx="2">
                  <c:v>170749</c:v>
                </c:pt>
              </c:numCache>
            </c:numRef>
          </c:val>
          <c:extLst>
            <c:ext xmlns:c16="http://schemas.microsoft.com/office/drawing/2014/chart" uri="{C3380CC4-5D6E-409C-BE32-E72D297353CC}">
              <c16:uniqueId val="{00000001-C0D0-7542-A355-55848F2C2F7B}"/>
            </c:ext>
          </c:extLst>
        </c:ser>
        <c:dLbls>
          <c:dLblPos val="inEnd"/>
          <c:showLegendKey val="0"/>
          <c:showVal val="1"/>
          <c:showCatName val="0"/>
          <c:showSerName val="0"/>
          <c:showPercent val="0"/>
          <c:showBubbleSize val="0"/>
        </c:dLbls>
        <c:gapWidth val="150"/>
        <c:overlap val="100"/>
        <c:axId val="1608490880"/>
        <c:axId val="1608483264"/>
      </c:barChart>
      <c:lineChart>
        <c:grouping val="standard"/>
        <c:varyColors val="0"/>
        <c:ser>
          <c:idx val="5"/>
          <c:order val="5"/>
          <c:tx>
            <c:strRef>
              <c:f>'Hornsby Council'!$B$41:$C$41</c:f>
              <c:strCache>
                <c:ptCount val="2"/>
                <c:pt idx="0">
                  <c:v>Total Revenue </c:v>
                </c:pt>
              </c:strCache>
            </c:strRef>
          </c:tx>
          <c:spPr>
            <a:ln w="28575" cap="rnd">
              <a:noFill/>
              <a:round/>
            </a:ln>
            <a:effectLst/>
          </c:spPr>
          <c:marker>
            <c:symbol val="none"/>
          </c:marker>
          <c:dLbls>
            <c:dLbl>
              <c:idx val="2"/>
              <c:layout>
                <c:manualLayout>
                  <c:x val="-3.5961553001795196E-2"/>
                  <c:y val="-0.10795594305582074"/>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C0D0-7542-A355-55848F2C2F7B}"/>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'Hornsby Council'!$D$35:$F$35</c:f>
              <c:strCache>
                <c:ptCount val="3"/>
                <c:pt idx="0">
                  <c:v> Budget FY 25 </c:v>
                </c:pt>
                <c:pt idx="1">
                  <c:v> Actual FY 25 </c:v>
                </c:pt>
                <c:pt idx="2">
                  <c:v> Actual FY 24 </c:v>
                </c:pt>
              </c:strCache>
            </c:strRef>
          </c:cat>
          <c:val>
            <c:numRef>
              <c:f>'Hornsby Council'!$D$41:$F$41</c:f>
              <c:numCache>
                <c:formatCode>_ * #,##0_ ;_ * \-#,##0_ ;_ * "-"??_ ;_ @_ </c:formatCode>
                <c:ptCount val="3"/>
                <c:pt idx="0">
                  <c:v>177485</c:v>
                </c:pt>
                <c:pt idx="1">
                  <c:v>225121</c:v>
                </c:pt>
                <c:pt idx="2">
                  <c:v>142752</c:v>
                </c:pt>
              </c:numCache>
            </c:numRef>
          </c:val>
          <c:smooth val="0"/>
          <c:extLst>
            <c:ext xmlns:c16="http://schemas.microsoft.com/office/drawing/2014/chart" uri="{C3380CC4-5D6E-409C-BE32-E72D297353CC}">
              <c16:uniqueId val="{00000007-C0D0-7542-A355-55848F2C2F7B}"/>
            </c:ext>
          </c:extLst>
        </c:ser>
        <c:dLbls>
          <c:showLegendKey val="0"/>
          <c:showVal val="0"/>
          <c:showCatName val="0"/>
          <c:showSerName val="0"/>
          <c:showPercent val="0"/>
          <c:showBubbleSize val="0"/>
        </c:dLbls>
        <c:marker val="1"/>
        <c:smooth val="0"/>
        <c:axId val="1608490880"/>
        <c:axId val="1608483264"/>
      </c:lineChart>
      <c:lineChart>
        <c:grouping val="standard"/>
        <c:varyColors val="0"/>
        <c:ser>
          <c:idx val="2"/>
          <c:order val="2"/>
          <c:tx>
            <c:strRef>
              <c:f>'Hornsby Council'!$B$38:$C$38</c:f>
              <c:strCache>
                <c:ptCount val="2"/>
                <c:pt idx="0">
                  <c:v>NP % over Total Revenue</c:v>
                </c:pt>
              </c:strCache>
            </c:strRef>
          </c:tx>
          <c:spPr>
            <a:ln w="28575" cap="rnd">
              <a:solidFill>
                <a:schemeClr val="accent3"/>
              </a:solidFill>
              <a:round/>
            </a:ln>
            <a:effectLst/>
          </c:spPr>
          <c:marker>
            <c:symbol val="circle"/>
            <c:size val="6"/>
            <c:spPr>
              <a:solidFill>
                <a:schemeClr val="accent3"/>
              </a:solidFill>
              <a:ln w="9525">
                <a:solidFill>
                  <a:schemeClr val="accent3"/>
                </a:solidFill>
              </a:ln>
              <a:effectLst/>
            </c:spPr>
          </c:marker>
          <c:dLbls>
            <c:dLbl>
              <c:idx val="2"/>
              <c:layout>
                <c:manualLayout>
                  <c:x val="1.0834242150817275E-4"/>
                  <c:y val="-8.1277519942667756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4203-4A4F-B98E-ED4CCE06B6FC}"/>
                </c:ext>
              </c:extLst>
            </c:dLbl>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'Hornsby Council'!$D$35:$F$35</c:f>
              <c:strCache>
                <c:ptCount val="3"/>
                <c:pt idx="0">
                  <c:v> Budget FY 25 </c:v>
                </c:pt>
                <c:pt idx="1">
                  <c:v> Actual FY 25 </c:v>
                </c:pt>
                <c:pt idx="2">
                  <c:v> Actual FY 24 </c:v>
                </c:pt>
              </c:strCache>
            </c:strRef>
          </c:cat>
          <c:val>
            <c:numRef>
              <c:f>'Hornsby Council'!$D$38:$F$38</c:f>
              <c:numCache>
                <c:formatCode>0%</c:formatCode>
                <c:ptCount val="3"/>
                <c:pt idx="0">
                  <c:v>9.659971265177339E-2</c:v>
                </c:pt>
                <c:pt idx="1">
                  <c:v>0.27768622207612798</c:v>
                </c:pt>
                <c:pt idx="2">
                  <c:v>-0.19612334678323246</c:v>
                </c:pt>
              </c:numCache>
            </c:numRef>
          </c:val>
          <c:smooth val="0"/>
          <c:extLst>
            <c:ext xmlns:c16="http://schemas.microsoft.com/office/drawing/2014/chart" uri="{C3380CC4-5D6E-409C-BE32-E72D297353CC}">
              <c16:uniqueId val="{00000002-C0D0-7542-A355-55848F2C2F7B}"/>
            </c:ext>
          </c:extLst>
        </c:ser>
        <c:ser>
          <c:idx val="3"/>
          <c:order val="3"/>
          <c:tx>
            <c:strRef>
              <c:f>'Hornsby Council'!$B$39:$C$39</c:f>
              <c:strCache>
                <c:ptCount val="2"/>
                <c:pt idx="0">
                  <c:v>NP before Govt Grant % over Total Revenue</c:v>
                </c:pt>
              </c:strCache>
            </c:strRef>
          </c:tx>
          <c:spPr>
            <a:ln w="28575" cap="rnd">
              <a:solidFill>
                <a:schemeClr val="accent4"/>
              </a:solidFill>
              <a:round/>
            </a:ln>
            <a:effectLst/>
          </c:spPr>
          <c:marker>
            <c:symbol val="circle"/>
            <c:size val="6"/>
            <c:spPr>
              <a:solidFill>
                <a:schemeClr val="accent4"/>
              </a:solidFill>
              <a:ln w="9525">
                <a:solidFill>
                  <a:schemeClr val="accent4"/>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'Hornsby Council'!$D$35:$F$35</c:f>
              <c:strCache>
                <c:ptCount val="3"/>
                <c:pt idx="0">
                  <c:v> Budget FY 25 </c:v>
                </c:pt>
                <c:pt idx="1">
                  <c:v> Actual FY 25 </c:v>
                </c:pt>
                <c:pt idx="2">
                  <c:v> Actual FY 24 </c:v>
                </c:pt>
              </c:strCache>
            </c:strRef>
          </c:cat>
          <c:val>
            <c:numRef>
              <c:f>'Hornsby Council'!$D$39:$F$39</c:f>
              <c:numCache>
                <c:formatCode>0%</c:formatCode>
                <c:ptCount val="3"/>
                <c:pt idx="0">
                  <c:v>4.0594979857452744E-2</c:v>
                </c:pt>
                <c:pt idx="1">
                  <c:v>9.1364199697051812E-2</c:v>
                </c:pt>
                <c:pt idx="2">
                  <c:v>-4.0587872674288275E-2</c:v>
                </c:pt>
              </c:numCache>
            </c:numRef>
          </c:val>
          <c:smooth val="0"/>
          <c:extLst>
            <c:ext xmlns:c16="http://schemas.microsoft.com/office/drawing/2014/chart" uri="{C3380CC4-5D6E-409C-BE32-E72D297353CC}">
              <c16:uniqueId val="{00000003-C0D0-7542-A355-55848F2C2F7B}"/>
            </c:ext>
          </c:extLst>
        </c:ser>
        <c:ser>
          <c:idx val="4"/>
          <c:order val="4"/>
          <c:tx>
            <c:strRef>
              <c:f>'Hornsby Council'!$B$40:$C$40</c:f>
              <c:strCache>
                <c:ptCount val="2"/>
                <c:pt idx="0">
                  <c:v>Direct Result from Operations % over Direct Revenue</c:v>
                </c:pt>
              </c:strCache>
            </c:strRef>
          </c:tx>
          <c:spPr>
            <a:ln w="28575" cap="rnd">
              <a:solidFill>
                <a:schemeClr val="accent5"/>
              </a:solidFill>
              <a:round/>
            </a:ln>
            <a:effectLst/>
          </c:spPr>
          <c:marker>
            <c:symbol val="circle"/>
            <c:size val="6"/>
            <c:spPr>
              <a:solidFill>
                <a:schemeClr val="accent5"/>
              </a:solidFill>
              <a:ln w="9525">
                <a:solidFill>
                  <a:schemeClr val="accent5"/>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'Hornsby Council'!$D$35:$F$35</c:f>
              <c:strCache>
                <c:ptCount val="3"/>
                <c:pt idx="0">
                  <c:v> Budget FY 25 </c:v>
                </c:pt>
                <c:pt idx="1">
                  <c:v> Actual FY 25 </c:v>
                </c:pt>
                <c:pt idx="2">
                  <c:v> Actual FY 24 </c:v>
                </c:pt>
              </c:strCache>
            </c:strRef>
          </c:cat>
          <c:val>
            <c:numRef>
              <c:f>'Hornsby Council'!$D$40:$F$40</c:f>
              <c:numCache>
                <c:formatCode>0%</c:formatCode>
                <c:ptCount val="3"/>
                <c:pt idx="0">
                  <c:v>0.18158177398383177</c:v>
                </c:pt>
                <c:pt idx="1">
                  <c:v>0.33967344629343355</c:v>
                </c:pt>
                <c:pt idx="2">
                  <c:v>-0.13691966222756249</c:v>
                </c:pt>
              </c:numCache>
            </c:numRef>
          </c:val>
          <c:smooth val="0"/>
          <c:extLst>
            <c:ext xmlns:c16="http://schemas.microsoft.com/office/drawing/2014/chart" uri="{C3380CC4-5D6E-409C-BE32-E72D297353CC}">
              <c16:uniqueId val="{00000004-C0D0-7542-A355-55848F2C2F7B}"/>
            </c:ext>
          </c:extLst>
        </c:ser>
        <c:dLbls>
          <c:showLegendKey val="0"/>
          <c:showVal val="1"/>
          <c:showCatName val="0"/>
          <c:showSerName val="0"/>
          <c:showPercent val="0"/>
          <c:showBubbleSize val="0"/>
        </c:dLbls>
        <c:marker val="1"/>
        <c:smooth val="0"/>
        <c:axId val="260326720"/>
        <c:axId val="260328064"/>
      </c:lineChart>
      <c:catAx>
        <c:axId val="1608490880"/>
        <c:scaling>
          <c:orientation val="maxMin"/>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effectLst>
                  <a:glow rad="228600">
                    <a:schemeClr val="bg1">
                      <a:alpha val="40000"/>
                    </a:schemeClr>
                  </a:glow>
                </a:effectLst>
                <a:latin typeface="+mn-lt"/>
                <a:ea typeface="+mn-ea"/>
                <a:cs typeface="+mn-cs"/>
              </a:defRPr>
            </a:pPr>
            <a:endParaRPr lang="en-US"/>
          </a:p>
        </c:txPr>
        <c:crossAx val="1608483264"/>
        <c:crosses val="autoZero"/>
        <c:auto val="1"/>
        <c:lblAlgn val="ctr"/>
        <c:lblOffset val="100"/>
        <c:noMultiLvlLbl val="0"/>
      </c:catAx>
      <c:valAx>
        <c:axId val="1608483264"/>
        <c:scaling>
          <c:orientation val="minMax"/>
        </c:scaling>
        <c:delete val="0"/>
        <c:axPos val="r"/>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608490880"/>
        <c:crosses val="autoZero"/>
        <c:crossBetween val="between"/>
      </c:valAx>
      <c:valAx>
        <c:axId val="260328064"/>
        <c:scaling>
          <c:orientation val="minMax"/>
          <c:max val="0.5"/>
          <c:min val="-0.35000000000000003"/>
        </c:scaling>
        <c:delete val="0"/>
        <c:axPos val="r"/>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60326720"/>
        <c:crosses val="max"/>
        <c:crossBetween val="between"/>
      </c:valAx>
      <c:catAx>
        <c:axId val="260326720"/>
        <c:scaling>
          <c:orientation val="minMax"/>
        </c:scaling>
        <c:delete val="1"/>
        <c:axPos val="b"/>
        <c:numFmt formatCode="General" sourceLinked="1"/>
        <c:majorTickMark val="none"/>
        <c:minorTickMark val="none"/>
        <c:tickLblPos val="nextTo"/>
        <c:crossAx val="260328064"/>
        <c:crosses val="autoZero"/>
        <c:auto val="1"/>
        <c:lblAlgn val="ctr"/>
        <c:lblOffset val="100"/>
        <c:noMultiLvlLbl val="0"/>
      </c:catAx>
      <c:spPr>
        <a:noFill/>
        <a:ln>
          <a:noFill/>
        </a:ln>
        <a:effectLst/>
      </c:spPr>
    </c:plotArea>
    <c:legend>
      <c:legendPos val="b"/>
      <c:layout>
        <c:manualLayout>
          <c:xMode val="edge"/>
          <c:yMode val="edge"/>
          <c:x val="4.5299463848148848E-2"/>
          <c:y val="0.8832530097859117"/>
          <c:w val="0.92478250313934274"/>
          <c:h val="0.10482363765526177"/>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rgbClr val="FF0000"/>
                </a:solidFill>
              </a:rPr>
              <a:t>North Sydney Council</a:t>
            </a:r>
            <a:r>
              <a:rPr lang="en-US" baseline="0">
                <a:solidFill>
                  <a:srgbClr val="FF0000"/>
                </a:solidFill>
              </a:rPr>
              <a:t> </a:t>
            </a:r>
            <a:endParaRPr lang="en-US">
              <a:solidFill>
                <a:srgbClr val="FF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tx>
            <c:strRef>
              <c:f>'North Sydney Council'!$B$36:$C$36</c:f>
              <c:strCache>
                <c:ptCount val="2"/>
                <c:pt idx="0">
                  <c:v>Operating Result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'North Sydney Council'!$D$35:$F$35</c:f>
              <c:strCache>
                <c:ptCount val="3"/>
                <c:pt idx="0">
                  <c:v> Budget FY 25 </c:v>
                </c:pt>
                <c:pt idx="1">
                  <c:v> Actual FY 25 </c:v>
                </c:pt>
                <c:pt idx="2">
                  <c:v> Actual FY 24 </c:v>
                </c:pt>
              </c:strCache>
            </c:strRef>
          </c:cat>
          <c:val>
            <c:numRef>
              <c:f>'North Sydney Council'!$D$36:$F$36</c:f>
              <c:numCache>
                <c:formatCode>_ * #,##0_ ;_ * \-#,##0_ ;_ * "-"??_ ;_ @_ </c:formatCode>
                <c:ptCount val="3"/>
                <c:pt idx="0">
                  <c:v>-5193</c:v>
                </c:pt>
                <c:pt idx="1">
                  <c:v>15177</c:v>
                </c:pt>
                <c:pt idx="2">
                  <c:v>13053</c:v>
                </c:pt>
              </c:numCache>
            </c:numRef>
          </c:val>
          <c:extLst>
            <c:ext xmlns:c16="http://schemas.microsoft.com/office/drawing/2014/chart" uri="{C3380CC4-5D6E-409C-BE32-E72D297353CC}">
              <c16:uniqueId val="{00000000-F05B-B243-9FD5-6013D4470F75}"/>
            </c:ext>
          </c:extLst>
        </c:ser>
        <c:ser>
          <c:idx val="1"/>
          <c:order val="1"/>
          <c:tx>
            <c:strRef>
              <c:f>'North Sydney Council'!$B$37:$C$37</c:f>
              <c:strCache>
                <c:ptCount val="2"/>
                <c:pt idx="0">
                  <c:v>Total Expenses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'North Sydney Council'!$D$35:$F$35</c:f>
              <c:strCache>
                <c:ptCount val="3"/>
                <c:pt idx="0">
                  <c:v> Budget FY 25 </c:v>
                </c:pt>
                <c:pt idx="1">
                  <c:v> Actual FY 25 </c:v>
                </c:pt>
                <c:pt idx="2">
                  <c:v> Actual FY 24 </c:v>
                </c:pt>
              </c:strCache>
            </c:strRef>
          </c:cat>
          <c:val>
            <c:numRef>
              <c:f>'North Sydney Council'!$D$37:$F$37</c:f>
              <c:numCache>
                <c:formatCode>_ * #,##0_ ;_ * \-#,##0_ ;_ * "-"??_ ;_ @_ </c:formatCode>
                <c:ptCount val="3"/>
                <c:pt idx="0">
                  <c:v>147525</c:v>
                </c:pt>
                <c:pt idx="1">
                  <c:v>139403</c:v>
                </c:pt>
                <c:pt idx="2">
                  <c:v>138604</c:v>
                </c:pt>
              </c:numCache>
            </c:numRef>
          </c:val>
          <c:extLst>
            <c:ext xmlns:c16="http://schemas.microsoft.com/office/drawing/2014/chart" uri="{C3380CC4-5D6E-409C-BE32-E72D297353CC}">
              <c16:uniqueId val="{00000001-F05B-B243-9FD5-6013D4470F75}"/>
            </c:ext>
          </c:extLst>
        </c:ser>
        <c:dLbls>
          <c:dLblPos val="inEnd"/>
          <c:showLegendKey val="0"/>
          <c:showVal val="1"/>
          <c:showCatName val="0"/>
          <c:showSerName val="0"/>
          <c:showPercent val="0"/>
          <c:showBubbleSize val="0"/>
        </c:dLbls>
        <c:gapWidth val="150"/>
        <c:overlap val="100"/>
        <c:axId val="261805312"/>
        <c:axId val="264018944"/>
      </c:barChart>
      <c:lineChart>
        <c:grouping val="standard"/>
        <c:varyColors val="0"/>
        <c:ser>
          <c:idx val="5"/>
          <c:order val="5"/>
          <c:tx>
            <c:strRef>
              <c:f>'North Sydney Council'!$B$41:$C$41</c:f>
              <c:strCache>
                <c:ptCount val="2"/>
                <c:pt idx="0">
                  <c:v>Total Revenue </c:v>
                </c:pt>
              </c:strCache>
            </c:strRef>
          </c:tx>
          <c:spPr>
            <a:ln w="28575" cap="rnd">
              <a:no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'North Sydney Council'!$D$35:$F$35</c:f>
              <c:strCache>
                <c:ptCount val="3"/>
                <c:pt idx="0">
                  <c:v> Budget FY 25 </c:v>
                </c:pt>
                <c:pt idx="1">
                  <c:v> Actual FY 25 </c:v>
                </c:pt>
                <c:pt idx="2">
                  <c:v> Actual FY 24 </c:v>
                </c:pt>
              </c:strCache>
            </c:strRef>
          </c:cat>
          <c:val>
            <c:numRef>
              <c:f>'North Sydney Council'!$D$41:$F$41</c:f>
              <c:numCache>
                <c:formatCode>_ * #,##0_ ;_ * \-#,##0_ ;_ * "-"??_ ;_ @_ </c:formatCode>
                <c:ptCount val="3"/>
                <c:pt idx="0">
                  <c:v>142332</c:v>
                </c:pt>
                <c:pt idx="1">
                  <c:v>154580</c:v>
                </c:pt>
                <c:pt idx="2">
                  <c:v>151657</c:v>
                </c:pt>
              </c:numCache>
            </c:numRef>
          </c:val>
          <c:smooth val="0"/>
          <c:extLst>
            <c:ext xmlns:c16="http://schemas.microsoft.com/office/drawing/2014/chart" uri="{C3380CC4-5D6E-409C-BE32-E72D297353CC}">
              <c16:uniqueId val="{00000005-F05B-B243-9FD5-6013D4470F75}"/>
            </c:ext>
          </c:extLst>
        </c:ser>
        <c:dLbls>
          <c:showLegendKey val="0"/>
          <c:showVal val="0"/>
          <c:showCatName val="0"/>
          <c:showSerName val="0"/>
          <c:showPercent val="0"/>
          <c:showBubbleSize val="0"/>
        </c:dLbls>
        <c:marker val="1"/>
        <c:smooth val="0"/>
        <c:axId val="261805312"/>
        <c:axId val="264018944"/>
      </c:lineChart>
      <c:lineChart>
        <c:grouping val="standard"/>
        <c:varyColors val="0"/>
        <c:ser>
          <c:idx val="2"/>
          <c:order val="2"/>
          <c:tx>
            <c:strRef>
              <c:f>'North Sydney Council'!$B$38:$C$38</c:f>
              <c:strCache>
                <c:ptCount val="2"/>
                <c:pt idx="0">
                  <c:v>NP % over Total Revenue</c:v>
                </c:pt>
              </c:strCache>
            </c:strRef>
          </c:tx>
          <c:spPr>
            <a:ln w="28575" cap="rnd">
              <a:solidFill>
                <a:schemeClr val="accent3"/>
              </a:solidFill>
              <a:round/>
            </a:ln>
            <a:effectLst/>
          </c:spPr>
          <c:marker>
            <c:symbol val="circle"/>
            <c:size val="6"/>
            <c:spPr>
              <a:solidFill>
                <a:schemeClr val="accent3"/>
              </a:solidFill>
              <a:ln w="9525">
                <a:solidFill>
                  <a:schemeClr val="accent3"/>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'North Sydney Council'!$D$35:$F$35</c:f>
              <c:strCache>
                <c:ptCount val="3"/>
                <c:pt idx="0">
                  <c:v> Budget FY 25 </c:v>
                </c:pt>
                <c:pt idx="1">
                  <c:v> Actual FY 25 </c:v>
                </c:pt>
                <c:pt idx="2">
                  <c:v> Actual FY 24 </c:v>
                </c:pt>
              </c:strCache>
            </c:strRef>
          </c:cat>
          <c:val>
            <c:numRef>
              <c:f>'North Sydney Council'!$D$38:$F$38</c:f>
              <c:numCache>
                <c:formatCode>0%</c:formatCode>
                <c:ptCount val="3"/>
                <c:pt idx="0">
                  <c:v>-3.6485119298541438E-2</c:v>
                </c:pt>
                <c:pt idx="1">
                  <c:v>9.8182171044119554E-2</c:v>
                </c:pt>
                <c:pt idx="2">
                  <c:v>8.6069221994368866E-2</c:v>
                </c:pt>
              </c:numCache>
            </c:numRef>
          </c:val>
          <c:smooth val="0"/>
          <c:extLst>
            <c:ext xmlns:c16="http://schemas.microsoft.com/office/drawing/2014/chart" uri="{C3380CC4-5D6E-409C-BE32-E72D297353CC}">
              <c16:uniqueId val="{00000002-F05B-B243-9FD5-6013D4470F75}"/>
            </c:ext>
          </c:extLst>
        </c:ser>
        <c:ser>
          <c:idx val="3"/>
          <c:order val="3"/>
          <c:tx>
            <c:strRef>
              <c:f>'North Sydney Council'!$B$39:$C$39</c:f>
              <c:strCache>
                <c:ptCount val="2"/>
                <c:pt idx="0">
                  <c:v>NP before Govt Grant % over Total Revenue</c:v>
                </c:pt>
              </c:strCache>
            </c:strRef>
          </c:tx>
          <c:spPr>
            <a:ln w="28575" cap="rnd">
              <a:solidFill>
                <a:schemeClr val="accent4"/>
              </a:solidFill>
              <a:round/>
            </a:ln>
            <a:effectLst/>
          </c:spPr>
          <c:marker>
            <c:symbol val="circle"/>
            <c:size val="6"/>
            <c:spPr>
              <a:solidFill>
                <a:schemeClr val="accent4"/>
              </a:solidFill>
              <a:ln w="9525">
                <a:solidFill>
                  <a:schemeClr val="accent4"/>
                </a:solidFill>
              </a:ln>
              <a:effectLst/>
            </c:spPr>
          </c:marker>
          <c:dLbls>
            <c:dLbl>
              <c:idx val="0"/>
              <c:layout>
                <c:manualLayout>
                  <c:x val="-4.3573315550539893E-2"/>
                  <c:y val="-2.041981757230932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F3CD-49ED-A4DB-DD56FADBCFDE}"/>
                </c:ext>
              </c:extLst>
            </c:dLbl>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'North Sydney Council'!$D$35:$F$35</c:f>
              <c:strCache>
                <c:ptCount val="3"/>
                <c:pt idx="0">
                  <c:v> Budget FY 25 </c:v>
                </c:pt>
                <c:pt idx="1">
                  <c:v> Actual FY 25 </c:v>
                </c:pt>
                <c:pt idx="2">
                  <c:v> Actual FY 24 </c:v>
                </c:pt>
              </c:strCache>
            </c:strRef>
          </c:cat>
          <c:val>
            <c:numRef>
              <c:f>'North Sydney Council'!$D$39:$F$39</c:f>
              <c:numCache>
                <c:formatCode>0%</c:formatCode>
                <c:ptCount val="3"/>
                <c:pt idx="0">
                  <c:v>-5.7970098080544083E-2</c:v>
                </c:pt>
                <c:pt idx="1">
                  <c:v>8.2028722991331349E-3</c:v>
                </c:pt>
                <c:pt idx="2">
                  <c:v>-2.3981748287253472E-2</c:v>
                </c:pt>
              </c:numCache>
            </c:numRef>
          </c:val>
          <c:smooth val="0"/>
          <c:extLst>
            <c:ext xmlns:c16="http://schemas.microsoft.com/office/drawing/2014/chart" uri="{C3380CC4-5D6E-409C-BE32-E72D297353CC}">
              <c16:uniqueId val="{00000003-F05B-B243-9FD5-6013D4470F75}"/>
            </c:ext>
          </c:extLst>
        </c:ser>
        <c:ser>
          <c:idx val="4"/>
          <c:order val="4"/>
          <c:tx>
            <c:strRef>
              <c:f>'North Sydney Council'!$B$40:$C$40</c:f>
              <c:strCache>
                <c:ptCount val="2"/>
                <c:pt idx="0">
                  <c:v>Direct Result from Operations % over Direct Revenue</c:v>
                </c:pt>
              </c:strCache>
            </c:strRef>
          </c:tx>
          <c:spPr>
            <a:ln w="28575" cap="rnd">
              <a:solidFill>
                <a:schemeClr val="accent5"/>
              </a:solidFill>
              <a:round/>
            </a:ln>
            <a:effectLst/>
          </c:spPr>
          <c:marker>
            <c:symbol val="circle"/>
            <c:size val="6"/>
            <c:spPr>
              <a:solidFill>
                <a:schemeClr val="accent5"/>
              </a:solidFill>
              <a:ln w="9525">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marker>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'North Sydney Council'!$D$35:$F$35</c:f>
              <c:strCache>
                <c:ptCount val="3"/>
                <c:pt idx="0">
                  <c:v> Budget FY 25 </c:v>
                </c:pt>
                <c:pt idx="1">
                  <c:v> Actual FY 25 </c:v>
                </c:pt>
                <c:pt idx="2">
                  <c:v> Actual FY 24 </c:v>
                </c:pt>
              </c:strCache>
            </c:strRef>
          </c:cat>
          <c:val>
            <c:numRef>
              <c:f>'North Sydney Council'!$D$40:$F$40</c:f>
              <c:numCache>
                <c:formatCode>0%</c:formatCode>
                <c:ptCount val="3"/>
                <c:pt idx="0">
                  <c:v>0.11796316079116895</c:v>
                </c:pt>
                <c:pt idx="1">
                  <c:v>0.22188630810626914</c:v>
                </c:pt>
                <c:pt idx="2">
                  <c:v>0.22753319572383623</c:v>
                </c:pt>
              </c:numCache>
            </c:numRef>
          </c:val>
          <c:smooth val="0"/>
          <c:extLst>
            <c:ext xmlns:c16="http://schemas.microsoft.com/office/drawing/2014/chart" uri="{C3380CC4-5D6E-409C-BE32-E72D297353CC}">
              <c16:uniqueId val="{00000004-F05B-B243-9FD5-6013D4470F75}"/>
            </c:ext>
          </c:extLst>
        </c:ser>
        <c:dLbls>
          <c:showLegendKey val="0"/>
          <c:showVal val="1"/>
          <c:showCatName val="0"/>
          <c:showSerName val="0"/>
          <c:showPercent val="0"/>
          <c:showBubbleSize val="0"/>
        </c:dLbls>
        <c:marker val="1"/>
        <c:smooth val="0"/>
        <c:axId val="1910293824"/>
        <c:axId val="1910299200"/>
      </c:lineChart>
      <c:catAx>
        <c:axId val="261805312"/>
        <c:scaling>
          <c:orientation val="maxMin"/>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264018944"/>
        <c:crosses val="autoZero"/>
        <c:auto val="1"/>
        <c:lblAlgn val="ctr"/>
        <c:lblOffset val="100"/>
        <c:noMultiLvlLbl val="0"/>
      </c:catAx>
      <c:valAx>
        <c:axId val="264018944"/>
        <c:scaling>
          <c:orientation val="minMax"/>
        </c:scaling>
        <c:delete val="0"/>
        <c:axPos val="r"/>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61805312"/>
        <c:crosses val="autoZero"/>
        <c:crossBetween val="between"/>
      </c:valAx>
      <c:valAx>
        <c:axId val="1910299200"/>
        <c:scaling>
          <c:orientation val="minMax"/>
          <c:max val="0.4"/>
          <c:min val="-0.15000000000000002"/>
        </c:scaling>
        <c:delete val="0"/>
        <c:axPos val="r"/>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910293824"/>
        <c:crosses val="max"/>
        <c:crossBetween val="between"/>
      </c:valAx>
      <c:catAx>
        <c:axId val="1910293824"/>
        <c:scaling>
          <c:orientation val="minMax"/>
        </c:scaling>
        <c:delete val="1"/>
        <c:axPos val="b"/>
        <c:numFmt formatCode="General" sourceLinked="1"/>
        <c:majorTickMark val="none"/>
        <c:minorTickMark val="none"/>
        <c:tickLblPos val="nextTo"/>
        <c:crossAx val="1910299200"/>
        <c:crosses val="autoZero"/>
        <c:auto val="1"/>
        <c:lblAlgn val="ctr"/>
        <c:lblOffset val="100"/>
        <c:noMultiLvlLbl val="0"/>
      </c:catAx>
      <c:spPr>
        <a:noFill/>
        <a:ln>
          <a:noFill/>
        </a:ln>
        <a:effectLst/>
      </c:spPr>
    </c:plotArea>
    <c:legend>
      <c:legendPos val="b"/>
      <c:layout>
        <c:manualLayout>
          <c:xMode val="edge"/>
          <c:yMode val="edge"/>
          <c:x val="4.5047782707943275E-2"/>
          <c:y val="0.85458232634287046"/>
          <c:w val="0.92553961373720772"/>
          <c:h val="0.13056618850861465"/>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Woolahra Council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tx>
            <c:strRef>
              <c:f>'Woollahra Council'!$B$36:$C$36</c:f>
              <c:strCache>
                <c:ptCount val="2"/>
                <c:pt idx="0">
                  <c:v>Operating Result</c:v>
                </c:pt>
              </c:strCache>
            </c:strRef>
          </c:tx>
          <c:spPr>
            <a:solidFill>
              <a:schemeClr val="accent1"/>
            </a:solidFill>
            <a:ln>
              <a:noFill/>
            </a:ln>
            <a:effectLst/>
          </c:spPr>
          <c:invertIfNegative val="0"/>
          <c:dLbls>
            <c:dLbl>
              <c:idx val="0"/>
              <c:layout>
                <c:manualLayout>
                  <c:x val="1.1926058437686125E-3"/>
                  <c:y val="-5.3342795669853527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D6DE-9E4E-8F47-AE9ACF9FD32C}"/>
                </c:ext>
              </c:extLst>
            </c:dLbl>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'Woollahra Council'!$D$35:$F$35</c:f>
              <c:strCache>
                <c:ptCount val="3"/>
                <c:pt idx="0">
                  <c:v> Budget FY 25 </c:v>
                </c:pt>
                <c:pt idx="1">
                  <c:v> Actual FY 25 </c:v>
                </c:pt>
                <c:pt idx="2">
                  <c:v> Actual FY 24 </c:v>
                </c:pt>
              </c:strCache>
            </c:strRef>
          </c:cat>
          <c:val>
            <c:numRef>
              <c:f>'Woollahra Council'!$D$36:$F$36</c:f>
              <c:numCache>
                <c:formatCode>_ * #,##0_ ;_ * \-#,##0_ ;_ * "-"??_ ;_ @_ </c:formatCode>
                <c:ptCount val="3"/>
                <c:pt idx="0">
                  <c:v>4124.5</c:v>
                </c:pt>
                <c:pt idx="1">
                  <c:v>9963</c:v>
                </c:pt>
                <c:pt idx="2">
                  <c:v>13757</c:v>
                </c:pt>
              </c:numCache>
            </c:numRef>
          </c:val>
          <c:extLst>
            <c:ext xmlns:c16="http://schemas.microsoft.com/office/drawing/2014/chart" uri="{C3380CC4-5D6E-409C-BE32-E72D297353CC}">
              <c16:uniqueId val="{00000000-D6DE-9E4E-8F47-AE9ACF9FD32C}"/>
            </c:ext>
          </c:extLst>
        </c:ser>
        <c:ser>
          <c:idx val="1"/>
          <c:order val="1"/>
          <c:tx>
            <c:strRef>
              <c:f>'Woollahra Council'!$B$37:$C$37</c:f>
              <c:strCache>
                <c:ptCount val="2"/>
                <c:pt idx="0">
                  <c:v>Total Expenses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'Woollahra Council'!$D$35:$F$35</c:f>
              <c:strCache>
                <c:ptCount val="3"/>
                <c:pt idx="0">
                  <c:v> Budget FY 25 </c:v>
                </c:pt>
                <c:pt idx="1">
                  <c:v> Actual FY 25 </c:v>
                </c:pt>
                <c:pt idx="2">
                  <c:v> Actual FY 24 </c:v>
                </c:pt>
              </c:strCache>
            </c:strRef>
          </c:cat>
          <c:val>
            <c:numRef>
              <c:f>'Woollahra Council'!$D$37:$F$37</c:f>
              <c:numCache>
                <c:formatCode>_ * #,##0_ ;_ * \-#,##0_ ;_ * "-"??_ ;_ @_ </c:formatCode>
                <c:ptCount val="3"/>
                <c:pt idx="0">
                  <c:v>128406.5</c:v>
                </c:pt>
                <c:pt idx="1">
                  <c:v>129629</c:v>
                </c:pt>
                <c:pt idx="2">
                  <c:v>122613</c:v>
                </c:pt>
              </c:numCache>
            </c:numRef>
          </c:val>
          <c:extLst>
            <c:ext xmlns:c16="http://schemas.microsoft.com/office/drawing/2014/chart" uri="{C3380CC4-5D6E-409C-BE32-E72D297353CC}">
              <c16:uniqueId val="{00000001-D6DE-9E4E-8F47-AE9ACF9FD32C}"/>
            </c:ext>
          </c:extLst>
        </c:ser>
        <c:dLbls>
          <c:dLblPos val="inEnd"/>
          <c:showLegendKey val="0"/>
          <c:showVal val="1"/>
          <c:showCatName val="0"/>
          <c:showSerName val="0"/>
          <c:showPercent val="0"/>
          <c:showBubbleSize val="0"/>
        </c:dLbls>
        <c:gapWidth val="150"/>
        <c:overlap val="100"/>
        <c:axId val="1907215424"/>
        <c:axId val="1907219904"/>
      </c:barChart>
      <c:lineChart>
        <c:grouping val="standard"/>
        <c:varyColors val="0"/>
        <c:ser>
          <c:idx val="5"/>
          <c:order val="5"/>
          <c:tx>
            <c:strRef>
              <c:f>'Woollahra Council'!$B$41:$C$41</c:f>
              <c:strCache>
                <c:ptCount val="2"/>
                <c:pt idx="0">
                  <c:v>Total Revenue </c:v>
                </c:pt>
              </c:strCache>
            </c:strRef>
          </c:tx>
          <c:spPr>
            <a:ln w="28575" cap="rnd">
              <a:no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'Woollahra Council'!$D$35:$F$35</c:f>
              <c:strCache>
                <c:ptCount val="3"/>
                <c:pt idx="0">
                  <c:v> Budget FY 25 </c:v>
                </c:pt>
                <c:pt idx="1">
                  <c:v> Actual FY 25 </c:v>
                </c:pt>
                <c:pt idx="2">
                  <c:v> Actual FY 24 </c:v>
                </c:pt>
              </c:strCache>
            </c:strRef>
          </c:cat>
          <c:val>
            <c:numRef>
              <c:f>'Woollahra Council'!$D$41:$F$41</c:f>
              <c:numCache>
                <c:formatCode>_ * #,##0_ ;_ * \-#,##0_ ;_ * "-"??_ ;_ @_ </c:formatCode>
                <c:ptCount val="3"/>
                <c:pt idx="0">
                  <c:v>132531</c:v>
                </c:pt>
                <c:pt idx="1">
                  <c:v>139592</c:v>
                </c:pt>
                <c:pt idx="2">
                  <c:v>136370</c:v>
                </c:pt>
              </c:numCache>
            </c:numRef>
          </c:val>
          <c:smooth val="0"/>
          <c:extLst>
            <c:ext xmlns:c16="http://schemas.microsoft.com/office/drawing/2014/chart" uri="{C3380CC4-5D6E-409C-BE32-E72D297353CC}">
              <c16:uniqueId val="{00000007-D6DE-9E4E-8F47-AE9ACF9FD32C}"/>
            </c:ext>
          </c:extLst>
        </c:ser>
        <c:dLbls>
          <c:showLegendKey val="0"/>
          <c:showVal val="0"/>
          <c:showCatName val="0"/>
          <c:showSerName val="0"/>
          <c:showPercent val="0"/>
          <c:showBubbleSize val="0"/>
        </c:dLbls>
        <c:marker val="1"/>
        <c:smooth val="0"/>
        <c:axId val="1907215424"/>
        <c:axId val="1907219904"/>
      </c:lineChart>
      <c:lineChart>
        <c:grouping val="standard"/>
        <c:varyColors val="0"/>
        <c:ser>
          <c:idx val="2"/>
          <c:order val="2"/>
          <c:tx>
            <c:strRef>
              <c:f>'Woollahra Council'!$B$38:$C$38</c:f>
              <c:strCache>
                <c:ptCount val="2"/>
                <c:pt idx="0">
                  <c:v>NP % over Total Revenue</c:v>
                </c:pt>
              </c:strCache>
            </c:strRef>
          </c:tx>
          <c:spPr>
            <a:ln w="28575" cap="rnd">
              <a:solidFill>
                <a:schemeClr val="accent3"/>
              </a:solidFill>
              <a:round/>
            </a:ln>
            <a:effectLst/>
          </c:spPr>
          <c:marker>
            <c:symbol val="circle"/>
            <c:size val="6"/>
            <c:spPr>
              <a:solidFill>
                <a:schemeClr val="accent3"/>
              </a:solidFill>
              <a:ln w="9525">
                <a:solidFill>
                  <a:schemeClr val="accent3"/>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'Woollahra Council'!$D$35:$F$35</c:f>
              <c:strCache>
                <c:ptCount val="3"/>
                <c:pt idx="0">
                  <c:v> Budget FY 25 </c:v>
                </c:pt>
                <c:pt idx="1">
                  <c:v> Actual FY 25 </c:v>
                </c:pt>
                <c:pt idx="2">
                  <c:v> Actual FY 24 </c:v>
                </c:pt>
              </c:strCache>
            </c:strRef>
          </c:cat>
          <c:val>
            <c:numRef>
              <c:f>'Woollahra Council'!$D$38:$F$38</c:f>
              <c:numCache>
                <c:formatCode>0%</c:formatCode>
                <c:ptCount val="3"/>
                <c:pt idx="0">
                  <c:v>3.1121020742316891E-2</c:v>
                </c:pt>
                <c:pt idx="1">
                  <c:v>7.1372284944695968E-2</c:v>
                </c:pt>
                <c:pt idx="2">
                  <c:v>0.10087995893524969</c:v>
                </c:pt>
              </c:numCache>
            </c:numRef>
          </c:val>
          <c:smooth val="0"/>
          <c:extLst>
            <c:ext xmlns:c16="http://schemas.microsoft.com/office/drawing/2014/chart" uri="{C3380CC4-5D6E-409C-BE32-E72D297353CC}">
              <c16:uniqueId val="{00000002-D6DE-9E4E-8F47-AE9ACF9FD32C}"/>
            </c:ext>
          </c:extLst>
        </c:ser>
        <c:ser>
          <c:idx val="3"/>
          <c:order val="3"/>
          <c:tx>
            <c:strRef>
              <c:f>'Woollahra Council'!$B$39:$C$39</c:f>
              <c:strCache>
                <c:ptCount val="2"/>
                <c:pt idx="0">
                  <c:v>NP before Govt Grant % over Total Revenue</c:v>
                </c:pt>
              </c:strCache>
            </c:strRef>
          </c:tx>
          <c:spPr>
            <a:ln w="28575" cap="rnd">
              <a:solidFill>
                <a:schemeClr val="accent4"/>
              </a:solidFill>
              <a:round/>
            </a:ln>
            <a:effectLst/>
          </c:spPr>
          <c:marker>
            <c:symbol val="circle"/>
            <c:size val="6"/>
            <c:spPr>
              <a:solidFill>
                <a:schemeClr val="accent4"/>
              </a:solidFill>
              <a:ln w="9525">
                <a:solidFill>
                  <a:schemeClr val="accent4"/>
                </a:solidFill>
              </a:ln>
              <a:effectLst/>
            </c:spPr>
          </c:marker>
          <c:dLbls>
            <c:dLbl>
              <c:idx val="0"/>
              <c:layout>
                <c:manualLayout>
                  <c:x val="-3.6450575036421191E-2"/>
                  <c:y val="-4.224445902595594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5D9F-4546-955F-6DC4C0036CF3}"/>
                </c:ext>
              </c:extLst>
            </c:dLbl>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'Woollahra Council'!$D$35:$F$35</c:f>
              <c:strCache>
                <c:ptCount val="3"/>
                <c:pt idx="0">
                  <c:v> Budget FY 25 </c:v>
                </c:pt>
                <c:pt idx="1">
                  <c:v> Actual FY 25 </c:v>
                </c:pt>
                <c:pt idx="2">
                  <c:v> Actual FY 24 </c:v>
                </c:pt>
              </c:strCache>
            </c:strRef>
          </c:cat>
          <c:val>
            <c:numRef>
              <c:f>'Woollahra Council'!$D$39:$F$39</c:f>
              <c:numCache>
                <c:formatCode>0%</c:formatCode>
                <c:ptCount val="3"/>
                <c:pt idx="0">
                  <c:v>9.2619839886517123E-3</c:v>
                </c:pt>
                <c:pt idx="1">
                  <c:v>9.6782050547309303E-3</c:v>
                </c:pt>
                <c:pt idx="2">
                  <c:v>-1.8002493216983207E-2</c:v>
                </c:pt>
              </c:numCache>
            </c:numRef>
          </c:val>
          <c:smooth val="0"/>
          <c:extLst>
            <c:ext xmlns:c16="http://schemas.microsoft.com/office/drawing/2014/chart" uri="{C3380CC4-5D6E-409C-BE32-E72D297353CC}">
              <c16:uniqueId val="{00000003-D6DE-9E4E-8F47-AE9ACF9FD32C}"/>
            </c:ext>
          </c:extLst>
        </c:ser>
        <c:ser>
          <c:idx val="4"/>
          <c:order val="4"/>
          <c:tx>
            <c:strRef>
              <c:f>'Woollahra Council'!$B$40:$C$40</c:f>
              <c:strCache>
                <c:ptCount val="2"/>
                <c:pt idx="0">
                  <c:v>Direct Result from Operations % over Direct Revenue</c:v>
                </c:pt>
              </c:strCache>
            </c:strRef>
          </c:tx>
          <c:spPr>
            <a:ln w="28575" cap="rnd">
              <a:solidFill>
                <a:schemeClr val="accent5"/>
              </a:solidFill>
              <a:round/>
            </a:ln>
            <a:effectLst/>
          </c:spPr>
          <c:marker>
            <c:symbol val="circle"/>
            <c:size val="6"/>
            <c:spPr>
              <a:solidFill>
                <a:schemeClr val="accent5"/>
              </a:solidFill>
              <a:ln w="9525">
                <a:solidFill>
                  <a:schemeClr val="accent5"/>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'Woollahra Council'!$D$35:$F$35</c:f>
              <c:strCache>
                <c:ptCount val="3"/>
                <c:pt idx="0">
                  <c:v> Budget FY 25 </c:v>
                </c:pt>
                <c:pt idx="1">
                  <c:v> Actual FY 25 </c:v>
                </c:pt>
                <c:pt idx="2">
                  <c:v> Actual FY 24 </c:v>
                </c:pt>
              </c:strCache>
            </c:strRef>
          </c:cat>
          <c:val>
            <c:numRef>
              <c:f>'Woollahra Council'!$D$40:$F$40</c:f>
              <c:numCache>
                <c:formatCode>0%</c:formatCode>
                <c:ptCount val="3"/>
                <c:pt idx="0">
                  <c:v>-9.085546988106856E-2</c:v>
                </c:pt>
                <c:pt idx="1">
                  <c:v>-4.3197834136242383E-2</c:v>
                </c:pt>
                <c:pt idx="2">
                  <c:v>5.2853102163357112E-2</c:v>
                </c:pt>
              </c:numCache>
            </c:numRef>
          </c:val>
          <c:smooth val="0"/>
          <c:extLst>
            <c:ext xmlns:c16="http://schemas.microsoft.com/office/drawing/2014/chart" uri="{C3380CC4-5D6E-409C-BE32-E72D297353CC}">
              <c16:uniqueId val="{00000004-D6DE-9E4E-8F47-AE9ACF9FD32C}"/>
            </c:ext>
          </c:extLst>
        </c:ser>
        <c:dLbls>
          <c:showLegendKey val="0"/>
          <c:showVal val="1"/>
          <c:showCatName val="0"/>
          <c:showSerName val="0"/>
          <c:showPercent val="0"/>
          <c:showBubbleSize val="0"/>
        </c:dLbls>
        <c:marker val="1"/>
        <c:smooth val="0"/>
        <c:axId val="1453392320"/>
        <c:axId val="1453431360"/>
      </c:lineChart>
      <c:catAx>
        <c:axId val="1907215424"/>
        <c:scaling>
          <c:orientation val="maxMin"/>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907219904"/>
        <c:crosses val="autoZero"/>
        <c:auto val="1"/>
        <c:lblAlgn val="ctr"/>
        <c:lblOffset val="100"/>
        <c:noMultiLvlLbl val="0"/>
      </c:catAx>
      <c:valAx>
        <c:axId val="1907219904"/>
        <c:scaling>
          <c:orientation val="minMax"/>
        </c:scaling>
        <c:delete val="0"/>
        <c:axPos val="r"/>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907215424"/>
        <c:crosses val="autoZero"/>
        <c:crossBetween val="between"/>
      </c:valAx>
      <c:valAx>
        <c:axId val="1453431360"/>
        <c:scaling>
          <c:orientation val="minMax"/>
          <c:max val="0.25"/>
        </c:scaling>
        <c:delete val="0"/>
        <c:axPos val="r"/>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453392320"/>
        <c:crosses val="max"/>
        <c:crossBetween val="between"/>
      </c:valAx>
      <c:catAx>
        <c:axId val="1453392320"/>
        <c:scaling>
          <c:orientation val="minMax"/>
        </c:scaling>
        <c:delete val="1"/>
        <c:axPos val="b"/>
        <c:numFmt formatCode="General" sourceLinked="1"/>
        <c:majorTickMark val="none"/>
        <c:minorTickMark val="none"/>
        <c:tickLblPos val="nextTo"/>
        <c:crossAx val="1453431360"/>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US" sz="1600" b="1"/>
              <a:t>Actual 2025</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3"/>
          <c:order val="0"/>
          <c:tx>
            <c:strRef>
              <c:f>'Comparitive data (KPIs)'!$E$2</c:f>
              <c:strCache>
                <c:ptCount val="1"/>
                <c:pt idx="0">
                  <c:v>Revenue (000)</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'Comparitive data (KPIs)'!$A$3:$A$8</c:f>
              <c:strCache>
                <c:ptCount val="6"/>
                <c:pt idx="0">
                  <c:v>City of Sydney </c:v>
                </c:pt>
                <c:pt idx="1">
                  <c:v>City of Parramatta </c:v>
                </c:pt>
                <c:pt idx="2">
                  <c:v>Hill Shire Council </c:v>
                </c:pt>
                <c:pt idx="3">
                  <c:v>Hornsby Council </c:v>
                </c:pt>
                <c:pt idx="4">
                  <c:v>North Sydney Council </c:v>
                </c:pt>
                <c:pt idx="5">
                  <c:v>Woollahra Council </c:v>
                </c:pt>
              </c:strCache>
            </c:strRef>
          </c:cat>
          <c:val>
            <c:numRef>
              <c:f>'Comparitive data (KPIs)'!$E$3:$E$8</c:f>
              <c:numCache>
                <c:formatCode>#,##0</c:formatCode>
                <c:ptCount val="6"/>
                <c:pt idx="0">
                  <c:v>909748</c:v>
                </c:pt>
                <c:pt idx="1">
                  <c:v>439204</c:v>
                </c:pt>
                <c:pt idx="2">
                  <c:v>417451</c:v>
                </c:pt>
                <c:pt idx="3">
                  <c:v>225121</c:v>
                </c:pt>
                <c:pt idx="4">
                  <c:v>154580</c:v>
                </c:pt>
                <c:pt idx="5">
                  <c:v>139592</c:v>
                </c:pt>
              </c:numCache>
            </c:numRef>
          </c:val>
          <c:extLst>
            <c:ext xmlns:c16="http://schemas.microsoft.com/office/drawing/2014/chart" uri="{C3380CC4-5D6E-409C-BE32-E72D297353CC}">
              <c16:uniqueId val="{00000003-B9BD-6C48-BFC2-ACF7AB79D0E3}"/>
            </c:ext>
          </c:extLst>
        </c:ser>
        <c:ser>
          <c:idx val="4"/>
          <c:order val="1"/>
          <c:tx>
            <c:strRef>
              <c:f>'Comparitive data (KPIs)'!$F$2</c:f>
              <c:strCache>
                <c:ptCount val="1"/>
                <c:pt idx="0">
                  <c:v>Operating Result (000)</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'Comparitive data (KPIs)'!$A$3:$A$8</c:f>
              <c:strCache>
                <c:ptCount val="6"/>
                <c:pt idx="0">
                  <c:v>City of Sydney </c:v>
                </c:pt>
                <c:pt idx="1">
                  <c:v>City of Parramatta </c:v>
                </c:pt>
                <c:pt idx="2">
                  <c:v>Hill Shire Council </c:v>
                </c:pt>
                <c:pt idx="3">
                  <c:v>Hornsby Council </c:v>
                </c:pt>
                <c:pt idx="4">
                  <c:v>North Sydney Council </c:v>
                </c:pt>
                <c:pt idx="5">
                  <c:v>Woollahra Council </c:v>
                </c:pt>
              </c:strCache>
            </c:strRef>
          </c:cat>
          <c:val>
            <c:numRef>
              <c:f>'Comparitive data (KPIs)'!$F$3:$F$8</c:f>
              <c:numCache>
                <c:formatCode>#,##0</c:formatCode>
                <c:ptCount val="6"/>
                <c:pt idx="0">
                  <c:v>133462</c:v>
                </c:pt>
                <c:pt idx="1">
                  <c:v>55652</c:v>
                </c:pt>
                <c:pt idx="2">
                  <c:v>30232</c:v>
                </c:pt>
                <c:pt idx="3">
                  <c:v>62513</c:v>
                </c:pt>
                <c:pt idx="4">
                  <c:v>15177</c:v>
                </c:pt>
                <c:pt idx="5">
                  <c:v>9963</c:v>
                </c:pt>
              </c:numCache>
            </c:numRef>
          </c:val>
          <c:extLst>
            <c:ext xmlns:c16="http://schemas.microsoft.com/office/drawing/2014/chart" uri="{C3380CC4-5D6E-409C-BE32-E72D297353CC}">
              <c16:uniqueId val="{00000004-B9BD-6C48-BFC2-ACF7AB79D0E3}"/>
            </c:ext>
          </c:extLst>
        </c:ser>
        <c:dLbls>
          <c:showLegendKey val="0"/>
          <c:showVal val="0"/>
          <c:showCatName val="0"/>
          <c:showSerName val="0"/>
          <c:showPercent val="0"/>
          <c:showBubbleSize val="0"/>
        </c:dLbls>
        <c:gapWidth val="150"/>
        <c:axId val="271384576"/>
        <c:axId val="1465533760"/>
      </c:barChart>
      <c:lineChart>
        <c:grouping val="standard"/>
        <c:varyColors val="0"/>
        <c:ser>
          <c:idx val="0"/>
          <c:order val="2"/>
          <c:tx>
            <c:strRef>
              <c:f>'Comparitive data (KPIs)'!$B$2</c:f>
              <c:strCache>
                <c:ptCount val="1"/>
                <c:pt idx="0">
                  <c:v>NP % over Total Revenue</c:v>
                </c:pt>
              </c:strCache>
            </c:strRef>
          </c:tx>
          <c:spPr>
            <a:ln w="28575" cap="rnd">
              <a:solidFill>
                <a:srgbClr val="00B050"/>
              </a:solidFill>
              <a:round/>
            </a:ln>
            <a:effectLst/>
          </c:spPr>
          <c:marker>
            <c:symbol val="circle"/>
            <c:size val="6"/>
            <c:spPr>
              <a:solidFill>
                <a:srgbClr val="00B050"/>
              </a:solidFill>
              <a:ln w="9525">
                <a:noFill/>
              </a:ln>
              <a:effectLst/>
            </c:spPr>
          </c:marker>
          <c:dLbls>
            <c:dLbl>
              <c:idx val="0"/>
              <c:layout>
                <c:manualLayout>
                  <c:x val="-9.955389068066256E-3"/>
                  <c:y val="2.807162427767175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955A-4F19-AF5E-85E497B2E626}"/>
                </c:ext>
              </c:extLst>
            </c:dLbl>
            <c:dLbl>
              <c:idx val="1"/>
              <c:layout>
                <c:manualLayout>
                  <c:x val="-9.955389068066256E-3"/>
                  <c:y val="-4.081351348886621E-4"/>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55A-4F19-AF5E-85E497B2E626}"/>
                </c:ext>
              </c:extLst>
            </c:dLbl>
            <c:dLbl>
              <c:idx val="2"/>
              <c:layout>
                <c:manualLayout>
                  <c:x val="-2.4682295973489657E-2"/>
                  <c:y val="3.376757616018392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955A-4F19-AF5E-85E497B2E626}"/>
                </c:ext>
              </c:extLst>
            </c:dLbl>
            <c:dLbl>
              <c:idx val="3"/>
              <c:dLblPos val="b"/>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955A-4F19-AF5E-85E497B2E626}"/>
                </c:ext>
              </c:extLst>
            </c:dLbl>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00B050"/>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'Comparitive data (KPIs)'!$A$3:$A$8</c:f>
              <c:strCache>
                <c:ptCount val="6"/>
                <c:pt idx="0">
                  <c:v>City of Sydney </c:v>
                </c:pt>
                <c:pt idx="1">
                  <c:v>City of Parramatta </c:v>
                </c:pt>
                <c:pt idx="2">
                  <c:v>Hill Shire Council </c:v>
                </c:pt>
                <c:pt idx="3">
                  <c:v>Hornsby Council </c:v>
                </c:pt>
                <c:pt idx="4">
                  <c:v>North Sydney Council </c:v>
                </c:pt>
                <c:pt idx="5">
                  <c:v>Woollahra Council </c:v>
                </c:pt>
              </c:strCache>
            </c:strRef>
          </c:cat>
          <c:val>
            <c:numRef>
              <c:f>'Comparitive data (KPIs)'!$B$3:$B$8</c:f>
              <c:numCache>
                <c:formatCode>0%</c:formatCode>
                <c:ptCount val="6"/>
                <c:pt idx="0">
                  <c:v>0.14670216367609493</c:v>
                </c:pt>
                <c:pt idx="1">
                  <c:v>0.12671104999043725</c:v>
                </c:pt>
                <c:pt idx="2">
                  <c:v>0.47046000608454647</c:v>
                </c:pt>
                <c:pt idx="3">
                  <c:v>0.27768622207612798</c:v>
                </c:pt>
                <c:pt idx="4">
                  <c:v>9.8182171044119554E-2</c:v>
                </c:pt>
                <c:pt idx="5">
                  <c:v>7.1372284944695968E-2</c:v>
                </c:pt>
              </c:numCache>
            </c:numRef>
          </c:val>
          <c:smooth val="0"/>
          <c:extLst>
            <c:ext xmlns:c16="http://schemas.microsoft.com/office/drawing/2014/chart" uri="{C3380CC4-5D6E-409C-BE32-E72D297353CC}">
              <c16:uniqueId val="{00000000-B9BD-6C48-BFC2-ACF7AB79D0E3}"/>
            </c:ext>
          </c:extLst>
        </c:ser>
        <c:ser>
          <c:idx val="1"/>
          <c:order val="3"/>
          <c:tx>
            <c:strRef>
              <c:f>'Comparitive data (KPIs)'!$C$2</c:f>
              <c:strCache>
                <c:ptCount val="1"/>
                <c:pt idx="0">
                  <c:v>NP before Govt Grant % over Total Revenue</c:v>
                </c:pt>
              </c:strCache>
            </c:strRef>
          </c:tx>
          <c:spPr>
            <a:ln w="28575" cap="rnd">
              <a:solidFill>
                <a:srgbClr val="00B0F0"/>
              </a:solidFill>
              <a:round/>
            </a:ln>
            <a:effectLst/>
          </c:spPr>
          <c:marker>
            <c:symbol val="circle"/>
            <c:size val="6"/>
            <c:spPr>
              <a:solidFill>
                <a:srgbClr val="00B0F0"/>
              </a:solidFill>
              <a:ln w="9525">
                <a:noFill/>
              </a:ln>
              <a:effectLst/>
            </c:spPr>
          </c:marker>
          <c:dLbls>
            <c:dLbl>
              <c:idx val="0"/>
              <c:layout>
                <c:manualLayout>
                  <c:x val="-8.7956741392383828E-3"/>
                  <c:y val="2.61729736501677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55A-4F19-AF5E-85E497B2E626}"/>
                </c:ext>
              </c:extLst>
            </c:dLbl>
            <c:dLbl>
              <c:idx val="1"/>
              <c:layout>
                <c:manualLayout>
                  <c:x val="-3.9136465201420603E-3"/>
                  <c:y val="1.857837114015166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955A-4F19-AF5E-85E497B2E626}"/>
                </c:ext>
              </c:extLst>
            </c:dLbl>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00B0F0"/>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'Comparitive data (KPIs)'!$A$3:$A$8</c:f>
              <c:strCache>
                <c:ptCount val="6"/>
                <c:pt idx="0">
                  <c:v>City of Sydney </c:v>
                </c:pt>
                <c:pt idx="1">
                  <c:v>City of Parramatta </c:v>
                </c:pt>
                <c:pt idx="2">
                  <c:v>Hill Shire Council </c:v>
                </c:pt>
                <c:pt idx="3">
                  <c:v>Hornsby Council </c:v>
                </c:pt>
                <c:pt idx="4">
                  <c:v>North Sydney Council </c:v>
                </c:pt>
                <c:pt idx="5">
                  <c:v>Woollahra Council </c:v>
                </c:pt>
              </c:strCache>
            </c:strRef>
          </c:cat>
          <c:val>
            <c:numRef>
              <c:f>'Comparitive data (KPIs)'!$C$3:$C$8</c:f>
              <c:numCache>
                <c:formatCode>0%</c:formatCode>
                <c:ptCount val="6"/>
                <c:pt idx="0">
                  <c:v>2.4326516793661542E-2</c:v>
                </c:pt>
                <c:pt idx="1">
                  <c:v>-3.0842159907468965E-2</c:v>
                </c:pt>
                <c:pt idx="2">
                  <c:v>6.9972284172274107E-2</c:v>
                </c:pt>
                <c:pt idx="3">
                  <c:v>9.1364199697051812E-2</c:v>
                </c:pt>
                <c:pt idx="4">
                  <c:v>8.2028722991331349E-3</c:v>
                </c:pt>
                <c:pt idx="5">
                  <c:v>9.6782050547309303E-3</c:v>
                </c:pt>
              </c:numCache>
            </c:numRef>
          </c:val>
          <c:smooth val="0"/>
          <c:extLst>
            <c:ext xmlns:c16="http://schemas.microsoft.com/office/drawing/2014/chart" uri="{C3380CC4-5D6E-409C-BE32-E72D297353CC}">
              <c16:uniqueId val="{00000001-B9BD-6C48-BFC2-ACF7AB79D0E3}"/>
            </c:ext>
          </c:extLst>
        </c:ser>
        <c:ser>
          <c:idx val="2"/>
          <c:order val="4"/>
          <c:tx>
            <c:strRef>
              <c:f>'Comparitive data (KPIs)'!$D$2</c:f>
              <c:strCache>
                <c:ptCount val="1"/>
                <c:pt idx="0">
                  <c:v>Direct Result from Operations % over Direct Revenue</c:v>
                </c:pt>
              </c:strCache>
            </c:strRef>
          </c:tx>
          <c:spPr>
            <a:ln w="28575" cap="rnd">
              <a:solidFill>
                <a:schemeClr val="accent5"/>
              </a:solidFill>
              <a:round/>
            </a:ln>
            <a:effectLst/>
          </c:spPr>
          <c:marker>
            <c:symbol val="circle"/>
            <c:size val="6"/>
            <c:spPr>
              <a:solidFill>
                <a:schemeClr val="accent5"/>
              </a:solidFill>
              <a:ln w="9525">
                <a:noFill/>
              </a:ln>
              <a:effectLst/>
            </c:spPr>
          </c:marker>
          <c:dLbls>
            <c:dLbl>
              <c:idx val="5"/>
              <c:layout>
                <c:manualLayout>
                  <c:x val="-3.9136465201420603E-3"/>
                  <c:y val="1.4905154926153007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955A-4F19-AF5E-85E497B2E626}"/>
                </c:ext>
              </c:extLst>
            </c:dLbl>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5"/>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'Comparitive data (KPIs)'!$A$3:$A$8</c:f>
              <c:strCache>
                <c:ptCount val="6"/>
                <c:pt idx="0">
                  <c:v>City of Sydney </c:v>
                </c:pt>
                <c:pt idx="1">
                  <c:v>City of Parramatta </c:v>
                </c:pt>
                <c:pt idx="2">
                  <c:v>Hill Shire Council </c:v>
                </c:pt>
                <c:pt idx="3">
                  <c:v>Hornsby Council </c:v>
                </c:pt>
                <c:pt idx="4">
                  <c:v>North Sydney Council </c:v>
                </c:pt>
                <c:pt idx="5">
                  <c:v>Woollahra Council </c:v>
                </c:pt>
              </c:strCache>
            </c:strRef>
          </c:cat>
          <c:val>
            <c:numRef>
              <c:f>'Comparitive data (KPIs)'!$D$3:$D$8</c:f>
              <c:numCache>
                <c:formatCode>0%</c:formatCode>
                <c:ptCount val="6"/>
                <c:pt idx="0">
                  <c:v>0.16540989238107573</c:v>
                </c:pt>
                <c:pt idx="1">
                  <c:v>0.17841671888810748</c:v>
                </c:pt>
                <c:pt idx="2">
                  <c:v>0.53167547642421376</c:v>
                </c:pt>
                <c:pt idx="3">
                  <c:v>0.33967344629343355</c:v>
                </c:pt>
                <c:pt idx="4">
                  <c:v>0.22188630810626914</c:v>
                </c:pt>
                <c:pt idx="5">
                  <c:v>-4.3197834136242383E-2</c:v>
                </c:pt>
              </c:numCache>
            </c:numRef>
          </c:val>
          <c:smooth val="0"/>
          <c:extLst>
            <c:ext xmlns:c16="http://schemas.microsoft.com/office/drawing/2014/chart" uri="{C3380CC4-5D6E-409C-BE32-E72D297353CC}">
              <c16:uniqueId val="{00000002-B9BD-6C48-BFC2-ACF7AB79D0E3}"/>
            </c:ext>
          </c:extLst>
        </c:ser>
        <c:dLbls>
          <c:showLegendKey val="0"/>
          <c:showVal val="0"/>
          <c:showCatName val="0"/>
          <c:showSerName val="0"/>
          <c:showPercent val="0"/>
          <c:showBubbleSize val="0"/>
        </c:dLbls>
        <c:marker val="1"/>
        <c:smooth val="0"/>
        <c:axId val="255966080"/>
        <c:axId val="255963392"/>
      </c:lineChart>
      <c:catAx>
        <c:axId val="2713845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465533760"/>
        <c:crosses val="autoZero"/>
        <c:auto val="1"/>
        <c:lblAlgn val="ctr"/>
        <c:lblOffset val="100"/>
        <c:noMultiLvlLbl val="0"/>
      </c:catAx>
      <c:valAx>
        <c:axId val="1465533760"/>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71384576"/>
        <c:crosses val="autoZero"/>
        <c:crossBetween val="between"/>
      </c:valAx>
      <c:valAx>
        <c:axId val="255963392"/>
        <c:scaling>
          <c:orientation val="minMax"/>
          <c:min val="-0.4"/>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55966080"/>
        <c:crosses val="max"/>
        <c:crossBetween val="between"/>
      </c:valAx>
      <c:catAx>
        <c:axId val="255966080"/>
        <c:scaling>
          <c:orientation val="minMax"/>
        </c:scaling>
        <c:delete val="1"/>
        <c:axPos val="b"/>
        <c:numFmt formatCode="General" sourceLinked="1"/>
        <c:majorTickMark val="out"/>
        <c:minorTickMark val="none"/>
        <c:tickLblPos val="nextTo"/>
        <c:crossAx val="255963392"/>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US" sz="1600" b="1"/>
              <a:t>Actual 2024</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1"/>
          <c:order val="0"/>
          <c:tx>
            <c:strRef>
              <c:f>'Comparitive data (KPIs)'!$E$11</c:f>
              <c:strCache>
                <c:ptCount val="1"/>
                <c:pt idx="0">
                  <c:v>Revenue (000)</c:v>
                </c:pt>
              </c:strCache>
            </c:strRef>
          </c:tx>
          <c:spPr>
            <a:solidFill>
              <a:schemeClr val="accent4"/>
            </a:solidFill>
            <a:ln>
              <a:solidFill>
                <a:srgbClr val="0070C0"/>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'Comparitive data (KPIs)'!$A$12:$A$17</c:f>
              <c:strCache>
                <c:ptCount val="6"/>
                <c:pt idx="0">
                  <c:v>City of Sydney </c:v>
                </c:pt>
                <c:pt idx="1">
                  <c:v>City of Parramatta </c:v>
                </c:pt>
                <c:pt idx="2">
                  <c:v>Hill Shire Council </c:v>
                </c:pt>
                <c:pt idx="3">
                  <c:v>Hornsby Council </c:v>
                </c:pt>
                <c:pt idx="4">
                  <c:v>North Sydney Council </c:v>
                </c:pt>
                <c:pt idx="5">
                  <c:v>Woollahra Council </c:v>
                </c:pt>
              </c:strCache>
            </c:strRef>
          </c:cat>
          <c:val>
            <c:numRef>
              <c:f>'Comparitive data (KPIs)'!$E$12:$E$17</c:f>
              <c:numCache>
                <c:formatCode>#,##0</c:formatCode>
                <c:ptCount val="6"/>
                <c:pt idx="0">
                  <c:v>894577</c:v>
                </c:pt>
                <c:pt idx="1">
                  <c:v>471826</c:v>
                </c:pt>
                <c:pt idx="2">
                  <c:v>383483</c:v>
                </c:pt>
                <c:pt idx="3">
                  <c:v>142752</c:v>
                </c:pt>
                <c:pt idx="4">
                  <c:v>151657</c:v>
                </c:pt>
                <c:pt idx="5">
                  <c:v>136370</c:v>
                </c:pt>
              </c:numCache>
            </c:numRef>
          </c:val>
          <c:extLst>
            <c:ext xmlns:c16="http://schemas.microsoft.com/office/drawing/2014/chart" uri="{C3380CC4-5D6E-409C-BE32-E72D297353CC}">
              <c16:uniqueId val="{00000003-240B-0D49-85D8-EC775204F874}"/>
            </c:ext>
          </c:extLst>
        </c:ser>
        <c:ser>
          <c:idx val="2"/>
          <c:order val="4"/>
          <c:tx>
            <c:strRef>
              <c:f>'Comparitive data (KPIs)'!$F$11</c:f>
              <c:strCache>
                <c:ptCount val="1"/>
                <c:pt idx="0">
                  <c:v>Operating Result (000)</c:v>
                </c:pt>
              </c:strCache>
            </c:strRef>
          </c:tx>
          <c:spPr>
            <a:solidFill>
              <a:schemeClr val="accent5"/>
            </a:solidFill>
            <a:ln>
              <a:noFill/>
            </a:ln>
            <a:effectLst/>
          </c:spPr>
          <c:invertIfNegative val="0"/>
          <c:dLbls>
            <c:dLbl>
              <c:idx val="3"/>
              <c:layout>
                <c:manualLayout>
                  <c:x val="2.2072945000130243E-2"/>
                  <c:y val="6.075682008012903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04DC-418F-8CF8-321D66706F50}"/>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'Comparitive data (KPIs)'!$A$12:$A$17</c:f>
              <c:strCache>
                <c:ptCount val="6"/>
                <c:pt idx="0">
                  <c:v>City of Sydney </c:v>
                </c:pt>
                <c:pt idx="1">
                  <c:v>City of Parramatta </c:v>
                </c:pt>
                <c:pt idx="2">
                  <c:v>Hill Shire Council </c:v>
                </c:pt>
                <c:pt idx="3">
                  <c:v>Hornsby Council </c:v>
                </c:pt>
                <c:pt idx="4">
                  <c:v>North Sydney Council </c:v>
                </c:pt>
                <c:pt idx="5">
                  <c:v>Woollahra Council </c:v>
                </c:pt>
              </c:strCache>
            </c:strRef>
          </c:cat>
          <c:val>
            <c:numRef>
              <c:f>'Comparitive data (KPIs)'!$F$12:$F$17</c:f>
              <c:numCache>
                <c:formatCode>#,##0</c:formatCode>
                <c:ptCount val="6"/>
                <c:pt idx="0">
                  <c:v>147921</c:v>
                </c:pt>
                <c:pt idx="1">
                  <c:v>88558</c:v>
                </c:pt>
                <c:pt idx="2">
                  <c:v>26904</c:v>
                </c:pt>
                <c:pt idx="3">
                  <c:v>-27997</c:v>
                </c:pt>
                <c:pt idx="4">
                  <c:v>13053</c:v>
                </c:pt>
                <c:pt idx="5">
                  <c:v>13757</c:v>
                </c:pt>
              </c:numCache>
            </c:numRef>
          </c:val>
          <c:extLst>
            <c:ext xmlns:c16="http://schemas.microsoft.com/office/drawing/2014/chart" uri="{C3380CC4-5D6E-409C-BE32-E72D297353CC}">
              <c16:uniqueId val="{00000004-240B-0D49-85D8-EC775204F874}"/>
            </c:ext>
          </c:extLst>
        </c:ser>
        <c:dLbls>
          <c:showLegendKey val="0"/>
          <c:showVal val="0"/>
          <c:showCatName val="0"/>
          <c:showSerName val="0"/>
          <c:showPercent val="0"/>
          <c:showBubbleSize val="0"/>
        </c:dLbls>
        <c:gapWidth val="150"/>
        <c:axId val="271384576"/>
        <c:axId val="1465533760"/>
      </c:barChart>
      <c:lineChart>
        <c:grouping val="standard"/>
        <c:varyColors val="0"/>
        <c:ser>
          <c:idx val="3"/>
          <c:order val="1"/>
          <c:tx>
            <c:strRef>
              <c:f>'Comparitive data (KPIs)'!$B$11</c:f>
              <c:strCache>
                <c:ptCount val="1"/>
                <c:pt idx="0">
                  <c:v>NP % over Total Revenue</c:v>
                </c:pt>
              </c:strCache>
            </c:strRef>
          </c:tx>
          <c:spPr>
            <a:ln w="28575" cap="rnd">
              <a:solidFill>
                <a:srgbClr val="00B050"/>
              </a:solidFill>
              <a:round/>
            </a:ln>
            <a:effectLst/>
          </c:spPr>
          <c:marker>
            <c:symbol val="circle"/>
            <c:size val="6"/>
            <c:spPr>
              <a:solidFill>
                <a:srgbClr val="00B050"/>
              </a:solidFill>
              <a:ln w="9525">
                <a:noFill/>
              </a:ln>
              <a:effectLst/>
            </c:spPr>
          </c:marker>
          <c:dLbls>
            <c:dLbl>
              <c:idx val="0"/>
              <c:layout>
                <c:manualLayout>
                  <c:x val="-8.4760108800500545E-3"/>
                  <c:y val="-2.698924391994515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4DC-418F-8CF8-321D66706F50}"/>
                </c:ext>
              </c:extLst>
            </c:dLbl>
            <c:dLbl>
              <c:idx val="3"/>
              <c:layout>
                <c:manualLayout>
                  <c:x val="-3.0085481969416624E-2"/>
                  <c:y val="2.42743230226637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04DC-418F-8CF8-321D66706F50}"/>
                </c:ext>
              </c:extLst>
            </c:dLbl>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00B050"/>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'Comparitive data (KPIs)'!$A$12:$A$17</c:f>
              <c:strCache>
                <c:ptCount val="6"/>
                <c:pt idx="0">
                  <c:v>City of Sydney </c:v>
                </c:pt>
                <c:pt idx="1">
                  <c:v>City of Parramatta </c:v>
                </c:pt>
                <c:pt idx="2">
                  <c:v>Hill Shire Council </c:v>
                </c:pt>
                <c:pt idx="3">
                  <c:v>Hornsby Council </c:v>
                </c:pt>
                <c:pt idx="4">
                  <c:v>North Sydney Council </c:v>
                </c:pt>
                <c:pt idx="5">
                  <c:v>Woollahra Council </c:v>
                </c:pt>
              </c:strCache>
            </c:strRef>
          </c:cat>
          <c:val>
            <c:numRef>
              <c:f>'Comparitive data (KPIs)'!$B$12:$B$17</c:f>
              <c:numCache>
                <c:formatCode>0%</c:formatCode>
                <c:ptCount val="6"/>
                <c:pt idx="0">
                  <c:v>0.16535301041721395</c:v>
                </c:pt>
                <c:pt idx="1">
                  <c:v>0.18769207292518852</c:v>
                </c:pt>
                <c:pt idx="2">
                  <c:v>0.42169014011051337</c:v>
                </c:pt>
                <c:pt idx="3">
                  <c:v>-0.19612334678323246</c:v>
                </c:pt>
                <c:pt idx="4">
                  <c:v>8.6069221994368866E-2</c:v>
                </c:pt>
                <c:pt idx="5">
                  <c:v>0.10087995893524969</c:v>
                </c:pt>
              </c:numCache>
            </c:numRef>
          </c:val>
          <c:smooth val="0"/>
          <c:extLst>
            <c:ext xmlns:c16="http://schemas.microsoft.com/office/drawing/2014/chart" uri="{C3380CC4-5D6E-409C-BE32-E72D297353CC}">
              <c16:uniqueId val="{00000000-240B-0D49-85D8-EC775204F874}"/>
            </c:ext>
          </c:extLst>
        </c:ser>
        <c:ser>
          <c:idx val="4"/>
          <c:order val="2"/>
          <c:tx>
            <c:strRef>
              <c:f>'Comparitive data (KPIs)'!$C$11</c:f>
              <c:strCache>
                <c:ptCount val="1"/>
                <c:pt idx="0">
                  <c:v>NP before Govt Grant % over Total Revenue</c:v>
                </c:pt>
              </c:strCache>
            </c:strRef>
          </c:tx>
          <c:spPr>
            <a:ln w="28575" cap="rnd">
              <a:solidFill>
                <a:srgbClr val="00B0F0"/>
              </a:solidFill>
              <a:round/>
            </a:ln>
            <a:effectLst/>
          </c:spPr>
          <c:marker>
            <c:symbol val="circle"/>
            <c:size val="6"/>
            <c:spPr>
              <a:solidFill>
                <a:srgbClr val="00B0F0"/>
              </a:solidFill>
              <a:ln w="9525">
                <a:noFill/>
              </a:ln>
              <a:effectLst/>
            </c:spPr>
          </c:marker>
          <c:dLbls>
            <c:dLbl>
              <c:idx val="0"/>
              <c:layout>
                <c:manualLayout>
                  <c:x val="-8.7887399013379906E-3"/>
                  <c:y val="3.268534530250655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04DC-418F-8CF8-321D66706F50}"/>
                </c:ext>
              </c:extLst>
            </c:dLbl>
            <c:dLbl>
              <c:idx val="1"/>
              <c:layout>
                <c:manualLayout>
                  <c:x val="-5.4406159568274055E-2"/>
                  <c:y val="-2.047687226760628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04DC-418F-8CF8-321D66706F50}"/>
                </c:ext>
              </c:extLst>
            </c:dLbl>
            <c:dLbl>
              <c:idx val="2"/>
              <c:layout>
                <c:manualLayout>
                  <c:x val="-2.3504036568091559E-2"/>
                  <c:y val="-2.427417352261435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04DC-418F-8CF8-321D66706F50}"/>
                </c:ext>
              </c:extLst>
            </c:dLbl>
            <c:dLbl>
              <c:idx val="3"/>
              <c:layout>
                <c:manualLayout>
                  <c:x val="-2.1569032990652312E-2"/>
                  <c:y val="-3.566607728763861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04DC-418F-8CF8-321D66706F50}"/>
                </c:ext>
              </c:extLst>
            </c:dLbl>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00B0F0"/>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'Comparitive data (KPIs)'!$A$12:$A$17</c:f>
              <c:strCache>
                <c:ptCount val="6"/>
                <c:pt idx="0">
                  <c:v>City of Sydney </c:v>
                </c:pt>
                <c:pt idx="1">
                  <c:v>City of Parramatta </c:v>
                </c:pt>
                <c:pt idx="2">
                  <c:v>Hill Shire Council </c:v>
                </c:pt>
                <c:pt idx="3">
                  <c:v>Hornsby Council </c:v>
                </c:pt>
                <c:pt idx="4">
                  <c:v>North Sydney Council </c:v>
                </c:pt>
                <c:pt idx="5">
                  <c:v>Woollahra Council </c:v>
                </c:pt>
              </c:strCache>
            </c:strRef>
          </c:cat>
          <c:val>
            <c:numRef>
              <c:f>'Comparitive data (KPIs)'!$C$12:$C$17</c:f>
              <c:numCache>
                <c:formatCode>0%</c:formatCode>
                <c:ptCount val="6"/>
                <c:pt idx="0">
                  <c:v>3.3627066200002907E-2</c:v>
                </c:pt>
                <c:pt idx="1">
                  <c:v>6.5926845913535925E-2</c:v>
                </c:pt>
                <c:pt idx="2">
                  <c:v>1.8485825968817392E-2</c:v>
                </c:pt>
                <c:pt idx="3">
                  <c:v>-4.0587872674288275E-2</c:v>
                </c:pt>
                <c:pt idx="4">
                  <c:v>-2.3981748287253472E-2</c:v>
                </c:pt>
                <c:pt idx="5">
                  <c:v>-1.8002493216983207E-2</c:v>
                </c:pt>
              </c:numCache>
            </c:numRef>
          </c:val>
          <c:smooth val="0"/>
          <c:extLst>
            <c:ext xmlns:c16="http://schemas.microsoft.com/office/drawing/2014/chart" uri="{C3380CC4-5D6E-409C-BE32-E72D297353CC}">
              <c16:uniqueId val="{00000001-240B-0D49-85D8-EC775204F874}"/>
            </c:ext>
          </c:extLst>
        </c:ser>
        <c:ser>
          <c:idx val="0"/>
          <c:order val="3"/>
          <c:tx>
            <c:strRef>
              <c:f>'Comparitive data (KPIs)'!$D$11</c:f>
              <c:strCache>
                <c:ptCount val="1"/>
                <c:pt idx="0">
                  <c:v>Direct Result from Operations % over Direct Revenue</c:v>
                </c:pt>
              </c:strCache>
            </c:strRef>
          </c:tx>
          <c:spPr>
            <a:ln w="28575" cap="rnd">
              <a:solidFill>
                <a:schemeClr val="accent5"/>
              </a:solidFill>
              <a:round/>
            </a:ln>
            <a:effectLst/>
          </c:spPr>
          <c:marker>
            <c:symbol val="circle"/>
            <c:size val="5"/>
            <c:spPr>
              <a:solidFill>
                <a:schemeClr val="accent5"/>
              </a:solidFill>
              <a:ln w="9525">
                <a:noFill/>
              </a:ln>
              <a:effectLst/>
            </c:spPr>
          </c:marker>
          <c:dLbls>
            <c:dLbl>
              <c:idx val="0"/>
              <c:layout>
                <c:manualLayout>
                  <c:x val="-4.7471547046946998E-2"/>
                  <c:y val="2.332499770891174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4DC-418F-8CF8-321D66706F50}"/>
                </c:ext>
              </c:extLst>
            </c:dLbl>
            <c:dLbl>
              <c:idx val="1"/>
              <c:layout>
                <c:manualLayout>
                  <c:x val="-4.7971867133617171E-3"/>
                  <c:y val="6.2371420613754509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04DC-418F-8CF8-321D66706F50}"/>
                </c:ext>
              </c:extLst>
            </c:dLbl>
            <c:dLbl>
              <c:idx val="3"/>
              <c:layout>
                <c:manualLayout>
                  <c:x val="3.0239355307789049E-3"/>
                  <c:y val="-2.603991860619309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40B-0D49-85D8-EC775204F874}"/>
                </c:ext>
              </c:extLst>
            </c:dLbl>
            <c:dLbl>
              <c:idx val="5"/>
              <c:layout>
                <c:manualLayout>
                  <c:x val="9.6053809321039688E-3"/>
                  <c:y val="8.1357926888794146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04DC-418F-8CF8-321D66706F50}"/>
                </c:ext>
              </c:extLst>
            </c:dLbl>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5"/>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'Comparitive data (KPIs)'!$A$12:$A$17</c:f>
              <c:strCache>
                <c:ptCount val="6"/>
                <c:pt idx="0">
                  <c:v>City of Sydney </c:v>
                </c:pt>
                <c:pt idx="1">
                  <c:v>City of Parramatta </c:v>
                </c:pt>
                <c:pt idx="2">
                  <c:v>Hill Shire Council </c:v>
                </c:pt>
                <c:pt idx="3">
                  <c:v>Hornsby Council </c:v>
                </c:pt>
                <c:pt idx="4">
                  <c:v>North Sydney Council </c:v>
                </c:pt>
                <c:pt idx="5">
                  <c:v>Woollahra Council </c:v>
                </c:pt>
              </c:strCache>
            </c:strRef>
          </c:cat>
          <c:val>
            <c:numRef>
              <c:f>'Comparitive data (KPIs)'!$D$12:$D$17</c:f>
              <c:numCache>
                <c:formatCode>0%</c:formatCode>
                <c:ptCount val="6"/>
                <c:pt idx="0">
                  <c:v>0.17141064982858359</c:v>
                </c:pt>
                <c:pt idx="1">
                  <c:v>0.1408714906045109</c:v>
                </c:pt>
                <c:pt idx="2">
                  <c:v>0.54624529106546305</c:v>
                </c:pt>
                <c:pt idx="3">
                  <c:v>-0.13691966222756249</c:v>
                </c:pt>
                <c:pt idx="4">
                  <c:v>0.22753319572383623</c:v>
                </c:pt>
                <c:pt idx="5">
                  <c:v>5.2853102163357112E-2</c:v>
                </c:pt>
              </c:numCache>
            </c:numRef>
          </c:val>
          <c:smooth val="0"/>
          <c:extLst>
            <c:ext xmlns:c16="http://schemas.microsoft.com/office/drawing/2014/chart" uri="{C3380CC4-5D6E-409C-BE32-E72D297353CC}">
              <c16:uniqueId val="{00000002-240B-0D49-85D8-EC775204F874}"/>
            </c:ext>
          </c:extLst>
        </c:ser>
        <c:dLbls>
          <c:showLegendKey val="0"/>
          <c:showVal val="0"/>
          <c:showCatName val="0"/>
          <c:showSerName val="0"/>
          <c:showPercent val="0"/>
          <c:showBubbleSize val="0"/>
        </c:dLbls>
        <c:marker val="1"/>
        <c:smooth val="0"/>
        <c:axId val="255966080"/>
        <c:axId val="255963392"/>
      </c:lineChart>
      <c:catAx>
        <c:axId val="2713845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465533760"/>
        <c:crosses val="autoZero"/>
        <c:auto val="1"/>
        <c:lblAlgn val="ctr"/>
        <c:lblOffset val="100"/>
        <c:noMultiLvlLbl val="0"/>
      </c:catAx>
      <c:valAx>
        <c:axId val="1465533760"/>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71384576"/>
        <c:crosses val="autoZero"/>
        <c:crossBetween val="between"/>
      </c:valAx>
      <c:valAx>
        <c:axId val="255963392"/>
        <c:scaling>
          <c:orientation val="minMax"/>
          <c:min val="-0.9"/>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55966080"/>
        <c:crosses val="max"/>
        <c:crossBetween val="between"/>
      </c:valAx>
      <c:catAx>
        <c:axId val="255966080"/>
        <c:scaling>
          <c:orientation val="minMax"/>
        </c:scaling>
        <c:delete val="1"/>
        <c:axPos val="b"/>
        <c:numFmt formatCode="General" sourceLinked="1"/>
        <c:majorTickMark val="out"/>
        <c:minorTickMark val="none"/>
        <c:tickLblPos val="nextTo"/>
        <c:crossAx val="255963392"/>
        <c:crosses val="autoZero"/>
        <c:auto val="1"/>
        <c:lblAlgn val="ctr"/>
        <c:lblOffset val="100"/>
        <c:noMultiLvlLbl val="0"/>
      </c:catAx>
      <c:spPr>
        <a:noFill/>
        <a:ln>
          <a:noFill/>
        </a:ln>
        <a:effectLst/>
      </c:spPr>
    </c:plotArea>
    <c:legend>
      <c:legendPos val="b"/>
      <c:layout>
        <c:manualLayout>
          <c:xMode val="edge"/>
          <c:yMode val="edge"/>
          <c:x val="8.1613120946413664E-3"/>
          <c:y val="0.89533621140861785"/>
          <c:w val="0.98073420060888883"/>
          <c:h val="9.327188482635794E-2"/>
        </c:manualLayout>
      </c:layout>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hyperlink" Target="#'North Sydney Council'!A1"/><Relationship Id="rId3" Type="http://schemas.microsoft.com/office/2007/relationships/hdphoto" Target="../media/hdphoto1.wdp"/><Relationship Id="rId7" Type="http://schemas.openxmlformats.org/officeDocument/2006/relationships/hyperlink" Target="#'Hornsby Council'!A1"/><Relationship Id="rId2" Type="http://schemas.openxmlformats.org/officeDocument/2006/relationships/image" Target="../media/image2.png"/><Relationship Id="rId1" Type="http://schemas.openxmlformats.org/officeDocument/2006/relationships/image" Target="../media/image1.jpg"/><Relationship Id="rId6" Type="http://schemas.openxmlformats.org/officeDocument/2006/relationships/hyperlink" Target="#'Hill Shire Council'!A1"/><Relationship Id="rId5" Type="http://schemas.openxmlformats.org/officeDocument/2006/relationships/hyperlink" Target="#'City of Parramatta'!A1"/><Relationship Id="rId10" Type="http://schemas.openxmlformats.org/officeDocument/2006/relationships/hyperlink" Target="#'Comparitive data (KPIs)'!A1"/><Relationship Id="rId4" Type="http://schemas.openxmlformats.org/officeDocument/2006/relationships/hyperlink" Target="#'City of Sydney'!A1"/><Relationship Id="rId9" Type="http://schemas.openxmlformats.org/officeDocument/2006/relationships/hyperlink" Target="#'Woollahra Council'!A1"/></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2" Type="http://schemas.openxmlformats.org/officeDocument/2006/relationships/hyperlink" Target="#Map!A1"/><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2" Type="http://schemas.openxmlformats.org/officeDocument/2006/relationships/hyperlink" Target="#Map!A1"/><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2" Type="http://schemas.openxmlformats.org/officeDocument/2006/relationships/hyperlink" Target="#Map!A1"/><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2" Type="http://schemas.openxmlformats.org/officeDocument/2006/relationships/hyperlink" Target="#Map!A1"/><Relationship Id="rId1" Type="http://schemas.openxmlformats.org/officeDocument/2006/relationships/chart" Target="../charts/chart5.xml"/></Relationships>
</file>

<file path=xl/drawings/_rels/drawing7.xml.rels><?xml version="1.0" encoding="UTF-8" standalone="yes"?>
<Relationships xmlns="http://schemas.openxmlformats.org/package/2006/relationships"><Relationship Id="rId2" Type="http://schemas.openxmlformats.org/officeDocument/2006/relationships/hyperlink" Target="#Map!A1"/><Relationship Id="rId1" Type="http://schemas.openxmlformats.org/officeDocument/2006/relationships/chart" Target="../charts/chart6.xml"/></Relationships>
</file>

<file path=xl/drawings/_rels/drawing8.xml.rels><?xml version="1.0" encoding="UTF-8" standalone="yes"?>
<Relationships xmlns="http://schemas.openxmlformats.org/package/2006/relationships"><Relationship Id="rId2" Type="http://schemas.openxmlformats.org/officeDocument/2006/relationships/hyperlink" Target="#Map!A1"/><Relationship Id="rId1" Type="http://schemas.openxmlformats.org/officeDocument/2006/relationships/chart" Target="../charts/chart7.xml"/></Relationships>
</file>

<file path=xl/drawings/_rels/drawing9.xml.rels><?xml version="1.0" encoding="UTF-8" standalone="yes"?>
<Relationships xmlns="http://schemas.openxmlformats.org/package/2006/relationships"><Relationship Id="rId2" Type="http://schemas.openxmlformats.org/officeDocument/2006/relationships/chart" Target="../charts/chart9.xml"/><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15</xdr:col>
      <xdr:colOff>601980</xdr:colOff>
      <xdr:row>55</xdr:row>
      <xdr:rowOff>160867</xdr:rowOff>
    </xdr:to>
    <xdr:pic>
      <xdr:nvPicPr>
        <xdr:cNvPr id="5" name="Picture 4">
          <a:extLst>
            <a:ext uri="{FF2B5EF4-FFF2-40B4-BE49-F238E27FC236}">
              <a16:creationId xmlns:a16="http://schemas.microsoft.com/office/drawing/2014/main" id="{D42950C8-0493-6E2C-C135-8868ECE1F841}"/>
            </a:ext>
          </a:extLst>
        </xdr:cNvPr>
        <xdr:cNvPicPr>
          <a:picLocks noChangeAspect="1"/>
        </xdr:cNvPicPr>
      </xdr:nvPicPr>
      <xdr:blipFill>
        <a:blip xmlns:r="http://schemas.openxmlformats.org/officeDocument/2006/relationships" r:embed="rId1"/>
        <a:stretch>
          <a:fillRect/>
        </a:stretch>
      </xdr:blipFill>
      <xdr:spPr>
        <a:xfrm>
          <a:off x="0" y="0"/>
          <a:ext cx="10744200" cy="10744200"/>
        </a:xfrm>
        <a:prstGeom prst="rect">
          <a:avLst/>
        </a:prstGeom>
      </xdr:spPr>
    </xdr:pic>
    <xdr:clientData/>
  </xdr:twoCellAnchor>
  <xdr:twoCellAnchor>
    <xdr:from>
      <xdr:col>0</xdr:col>
      <xdr:colOff>0</xdr:colOff>
      <xdr:row>0</xdr:row>
      <xdr:rowOff>0</xdr:rowOff>
    </xdr:from>
    <xdr:to>
      <xdr:col>16</xdr:col>
      <xdr:colOff>91440</xdr:colOff>
      <xdr:row>56</xdr:row>
      <xdr:rowOff>121920</xdr:rowOff>
    </xdr:to>
    <xdr:grpSp>
      <xdr:nvGrpSpPr>
        <xdr:cNvPr id="11" name="Group 10">
          <a:extLst>
            <a:ext uri="{FF2B5EF4-FFF2-40B4-BE49-F238E27FC236}">
              <a16:creationId xmlns:a16="http://schemas.microsoft.com/office/drawing/2014/main" id="{A2EFA37F-CD47-D24B-8277-ED98B15D683D}"/>
            </a:ext>
          </a:extLst>
        </xdr:cNvPr>
        <xdr:cNvGrpSpPr/>
      </xdr:nvGrpSpPr>
      <xdr:grpSpPr>
        <a:xfrm>
          <a:off x="0" y="0"/>
          <a:ext cx="10960277" cy="10990757"/>
          <a:chOff x="2558269" y="154678"/>
          <a:chExt cx="6937424" cy="6703322"/>
        </a:xfrm>
      </xdr:grpSpPr>
      <xdr:pic>
        <xdr:nvPicPr>
          <xdr:cNvPr id="13" name="Picture 12">
            <a:extLst>
              <a:ext uri="{FF2B5EF4-FFF2-40B4-BE49-F238E27FC236}">
                <a16:creationId xmlns:a16="http://schemas.microsoft.com/office/drawing/2014/main" id="{F9540EB3-863C-489D-B2F1-183A9E2B6ABB}"/>
              </a:ext>
            </a:extLst>
          </xdr:cNvPr>
          <xdr:cNvPicPr>
            <a:picLocks noChangeAspect="1" noChangeArrowheads="1"/>
          </xdr:cNvPicPr>
        </xdr:nvPicPr>
        <xdr:blipFill>
          <a:blip xmlns:r="http://schemas.openxmlformats.org/officeDocument/2006/relationships" r:embed="rId2">
            <a:alphaModFix/>
            <a:extLst>
              <a:ext uri="{BEBA8EAE-BF5A-486C-A8C5-ECC9F3942E4B}">
                <a14:imgProps xmlns:a14="http://schemas.microsoft.com/office/drawing/2010/main">
                  <a14:imgLayer r:embed="rId3">
                    <a14:imgEffect>
                      <a14:brightnessContrast bright="20000" contrast="-40000"/>
                    </a14:imgEffect>
                  </a14:imgLayer>
                </a14:imgProps>
              </a:ext>
              <a:ext uri="{28A0092B-C50C-407E-A947-70E740481C1C}">
                <a14:useLocalDpi xmlns:a14="http://schemas.microsoft.com/office/drawing/2010/main" val="0"/>
              </a:ext>
            </a:extLst>
          </a:blip>
          <a:srcRect/>
          <a:stretch>
            <a:fillRect/>
          </a:stretch>
        </xdr:blipFill>
        <xdr:spPr bwMode="auto">
          <a:xfrm>
            <a:off x="2558269" y="154678"/>
            <a:ext cx="6937424" cy="6703322"/>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14" name="Rectangle 13">
            <a:extLst>
              <a:ext uri="{FF2B5EF4-FFF2-40B4-BE49-F238E27FC236}">
                <a16:creationId xmlns:a16="http://schemas.microsoft.com/office/drawing/2014/main" id="{59BCF3C3-EE45-6DC0-EBAF-911FE894C205}"/>
              </a:ext>
            </a:extLst>
          </xdr:cNvPr>
          <xdr:cNvSpPr/>
        </xdr:nvSpPr>
        <xdr:spPr>
          <a:xfrm>
            <a:off x="3483033" y="2419004"/>
            <a:ext cx="889462" cy="282632"/>
          </a:xfrm>
          <a:prstGeom prst="rect">
            <a:avLst/>
          </a:prstGeom>
          <a:solidFill>
            <a:srgbClr val="FF9D9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15" name="Rectangle 14">
            <a:extLst>
              <a:ext uri="{FF2B5EF4-FFF2-40B4-BE49-F238E27FC236}">
                <a16:creationId xmlns:a16="http://schemas.microsoft.com/office/drawing/2014/main" id="{D88656A9-57A2-61BF-AECA-6625372EF9E2}"/>
              </a:ext>
            </a:extLst>
          </xdr:cNvPr>
          <xdr:cNvSpPr/>
        </xdr:nvSpPr>
        <xdr:spPr>
          <a:xfrm>
            <a:off x="4605251" y="1537855"/>
            <a:ext cx="623454" cy="440574"/>
          </a:xfrm>
          <a:prstGeom prst="rect">
            <a:avLst/>
          </a:prstGeom>
          <a:solidFill>
            <a:srgbClr val="FFB79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16" name="Rectangle 15">
            <a:extLst>
              <a:ext uri="{FF2B5EF4-FFF2-40B4-BE49-F238E27FC236}">
                <a16:creationId xmlns:a16="http://schemas.microsoft.com/office/drawing/2014/main" id="{AE73A341-A55E-CB62-CB59-7330D304F09E}"/>
              </a:ext>
            </a:extLst>
          </xdr:cNvPr>
          <xdr:cNvSpPr/>
        </xdr:nvSpPr>
        <xdr:spPr>
          <a:xfrm>
            <a:off x="5428211" y="3183775"/>
            <a:ext cx="931025" cy="245225"/>
          </a:xfrm>
          <a:prstGeom prst="rect">
            <a:avLst/>
          </a:prstGeom>
          <a:solidFill>
            <a:srgbClr val="FF9D9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18" name="Rectangle 17">
            <a:extLst>
              <a:ext uri="{FF2B5EF4-FFF2-40B4-BE49-F238E27FC236}">
                <a16:creationId xmlns:a16="http://schemas.microsoft.com/office/drawing/2014/main" id="{2B9C7628-9298-48E0-BD9F-A12B964A8C74}"/>
              </a:ext>
            </a:extLst>
          </xdr:cNvPr>
          <xdr:cNvSpPr/>
        </xdr:nvSpPr>
        <xdr:spPr>
          <a:xfrm>
            <a:off x="4896196" y="4098175"/>
            <a:ext cx="1346662" cy="440574"/>
          </a:xfrm>
          <a:prstGeom prst="rect">
            <a:avLst/>
          </a:prstGeom>
          <a:solidFill>
            <a:srgbClr val="FFB79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19" name="Rectangle 18">
            <a:extLst>
              <a:ext uri="{FF2B5EF4-FFF2-40B4-BE49-F238E27FC236}">
                <a16:creationId xmlns:a16="http://schemas.microsoft.com/office/drawing/2014/main" id="{5F332464-2C56-F684-C578-5F427C87B579}"/>
              </a:ext>
            </a:extLst>
          </xdr:cNvPr>
          <xdr:cNvSpPr/>
        </xdr:nvSpPr>
        <xdr:spPr>
          <a:xfrm>
            <a:off x="4272742" y="5378335"/>
            <a:ext cx="623454" cy="440574"/>
          </a:xfrm>
          <a:prstGeom prst="rect">
            <a:avLst/>
          </a:prstGeom>
          <a:solidFill>
            <a:srgbClr val="FF9D9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20" name="Rectangle 19">
            <a:extLst>
              <a:ext uri="{FF2B5EF4-FFF2-40B4-BE49-F238E27FC236}">
                <a16:creationId xmlns:a16="http://schemas.microsoft.com/office/drawing/2014/main" id="{0A63B2B1-A548-A34D-C562-DA7C78078517}"/>
              </a:ext>
            </a:extLst>
          </xdr:cNvPr>
          <xdr:cNvSpPr/>
        </xdr:nvSpPr>
        <xdr:spPr>
          <a:xfrm>
            <a:off x="5636029" y="1978429"/>
            <a:ext cx="822960" cy="245225"/>
          </a:xfrm>
          <a:prstGeom prst="rect">
            <a:avLst/>
          </a:prstGeom>
          <a:solidFill>
            <a:srgbClr val="FF9D9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21" name="Freeform: Shape 20">
            <a:extLst>
              <a:ext uri="{FF2B5EF4-FFF2-40B4-BE49-F238E27FC236}">
                <a16:creationId xmlns:a16="http://schemas.microsoft.com/office/drawing/2014/main" id="{443AF5C0-8B47-39C6-7CBC-2B98F24E29A9}"/>
              </a:ext>
            </a:extLst>
          </xdr:cNvPr>
          <xdr:cNvSpPr/>
        </xdr:nvSpPr>
        <xdr:spPr>
          <a:xfrm>
            <a:off x="5835535" y="2593571"/>
            <a:ext cx="798021" cy="448887"/>
          </a:xfrm>
          <a:custGeom>
            <a:avLst/>
            <a:gdLst>
              <a:gd name="connsiteX0" fmla="*/ 0 w 798021"/>
              <a:gd name="connsiteY0" fmla="*/ 0 h 448887"/>
              <a:gd name="connsiteX1" fmla="*/ 665018 w 798021"/>
              <a:gd name="connsiteY1" fmla="*/ 41564 h 448887"/>
              <a:gd name="connsiteX2" fmla="*/ 798021 w 798021"/>
              <a:gd name="connsiteY2" fmla="*/ 157942 h 448887"/>
              <a:gd name="connsiteX3" fmla="*/ 764770 w 798021"/>
              <a:gd name="connsiteY3" fmla="*/ 448887 h 448887"/>
              <a:gd name="connsiteX4" fmla="*/ 266007 w 798021"/>
              <a:gd name="connsiteY4" fmla="*/ 374073 h 448887"/>
              <a:gd name="connsiteX5" fmla="*/ 166254 w 798021"/>
              <a:gd name="connsiteY5" fmla="*/ 191193 h 448887"/>
              <a:gd name="connsiteX6" fmla="*/ 16625 w 798021"/>
              <a:gd name="connsiteY6" fmla="*/ 108065 h 448887"/>
              <a:gd name="connsiteX7" fmla="*/ 0 w 798021"/>
              <a:gd name="connsiteY7" fmla="*/ 0 h 448887"/>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Lst>
            <a:rect l="l" t="t" r="r" b="b"/>
            <a:pathLst>
              <a:path w="798021" h="448887">
                <a:moveTo>
                  <a:pt x="0" y="0"/>
                </a:moveTo>
                <a:lnTo>
                  <a:pt x="665018" y="41564"/>
                </a:lnTo>
                <a:lnTo>
                  <a:pt x="798021" y="157942"/>
                </a:lnTo>
                <a:lnTo>
                  <a:pt x="764770" y="448887"/>
                </a:lnTo>
                <a:lnTo>
                  <a:pt x="266007" y="374073"/>
                </a:lnTo>
                <a:lnTo>
                  <a:pt x="166254" y="191193"/>
                </a:lnTo>
                <a:lnTo>
                  <a:pt x="16625" y="108065"/>
                </a:lnTo>
                <a:lnTo>
                  <a:pt x="0" y="0"/>
                </a:lnTo>
                <a:close/>
              </a:path>
            </a:pathLst>
          </a:custGeom>
          <a:solidFill>
            <a:srgbClr val="FF9D9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22" name="Rectangle 21">
            <a:extLst>
              <a:ext uri="{FF2B5EF4-FFF2-40B4-BE49-F238E27FC236}">
                <a16:creationId xmlns:a16="http://schemas.microsoft.com/office/drawing/2014/main" id="{6B1D4AB1-F7C9-4782-24A3-336EEC609C3C}"/>
              </a:ext>
            </a:extLst>
          </xdr:cNvPr>
          <xdr:cNvSpPr/>
        </xdr:nvSpPr>
        <xdr:spPr>
          <a:xfrm>
            <a:off x="6907876" y="1388225"/>
            <a:ext cx="266008" cy="332510"/>
          </a:xfrm>
          <a:prstGeom prst="rect">
            <a:avLst/>
          </a:prstGeom>
          <a:solidFill>
            <a:srgbClr val="AD9CF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23" name="Rectangle 22">
            <a:extLst>
              <a:ext uri="{FF2B5EF4-FFF2-40B4-BE49-F238E27FC236}">
                <a16:creationId xmlns:a16="http://schemas.microsoft.com/office/drawing/2014/main" id="{E3DDA0EF-C942-E5C4-C6AC-B1BFD313D437}"/>
              </a:ext>
            </a:extLst>
          </xdr:cNvPr>
          <xdr:cNvSpPr/>
        </xdr:nvSpPr>
        <xdr:spPr>
          <a:xfrm>
            <a:off x="7173884" y="2053244"/>
            <a:ext cx="556952" cy="365760"/>
          </a:xfrm>
          <a:prstGeom prst="rect">
            <a:avLst/>
          </a:prstGeom>
          <a:solidFill>
            <a:srgbClr val="B89D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24" name="Rectangle 23">
            <a:extLst>
              <a:ext uri="{FF2B5EF4-FFF2-40B4-BE49-F238E27FC236}">
                <a16:creationId xmlns:a16="http://schemas.microsoft.com/office/drawing/2014/main" id="{20073860-7050-005B-8414-751B2CF81331}"/>
              </a:ext>
            </a:extLst>
          </xdr:cNvPr>
          <xdr:cNvSpPr/>
        </xdr:nvSpPr>
        <xdr:spPr>
          <a:xfrm>
            <a:off x="7271558" y="2236124"/>
            <a:ext cx="502920" cy="282632"/>
          </a:xfrm>
          <a:prstGeom prst="rect">
            <a:avLst/>
          </a:prstGeom>
          <a:solidFill>
            <a:srgbClr val="B89D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25" name="Rectangle 24">
            <a:extLst>
              <a:ext uri="{FF2B5EF4-FFF2-40B4-BE49-F238E27FC236}">
                <a16:creationId xmlns:a16="http://schemas.microsoft.com/office/drawing/2014/main" id="{D09C03D1-FB1C-F453-9B91-7F8E435F5B59}"/>
              </a:ext>
            </a:extLst>
          </xdr:cNvPr>
          <xdr:cNvSpPr/>
        </xdr:nvSpPr>
        <xdr:spPr>
          <a:xfrm>
            <a:off x="7099069" y="2161309"/>
            <a:ext cx="172489" cy="245225"/>
          </a:xfrm>
          <a:prstGeom prst="rect">
            <a:avLst/>
          </a:prstGeom>
          <a:solidFill>
            <a:srgbClr val="B89D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26" name="Rectangle 25">
            <a:extLst>
              <a:ext uri="{FF2B5EF4-FFF2-40B4-BE49-F238E27FC236}">
                <a16:creationId xmlns:a16="http://schemas.microsoft.com/office/drawing/2014/main" id="{B73CC837-F227-2CB6-763E-3B739AE7216A}"/>
              </a:ext>
            </a:extLst>
          </xdr:cNvPr>
          <xdr:cNvSpPr/>
        </xdr:nvSpPr>
        <xdr:spPr>
          <a:xfrm>
            <a:off x="6733309" y="2593571"/>
            <a:ext cx="556952" cy="448887"/>
          </a:xfrm>
          <a:prstGeom prst="rect">
            <a:avLst/>
          </a:prstGeom>
          <a:solidFill>
            <a:srgbClr val="FF9D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27" name="Rectangle 26">
            <a:extLst>
              <a:ext uri="{FF2B5EF4-FFF2-40B4-BE49-F238E27FC236}">
                <a16:creationId xmlns:a16="http://schemas.microsoft.com/office/drawing/2014/main" id="{A5C77E18-16FE-9587-A6BF-E609F6DB7771}"/>
              </a:ext>
            </a:extLst>
          </xdr:cNvPr>
          <xdr:cNvSpPr/>
        </xdr:nvSpPr>
        <xdr:spPr>
          <a:xfrm>
            <a:off x="6982691" y="3715789"/>
            <a:ext cx="681644" cy="282632"/>
          </a:xfrm>
          <a:prstGeom prst="rect">
            <a:avLst/>
          </a:prstGeom>
          <a:solidFill>
            <a:srgbClr val="FFB79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28" name="Rectangle 27">
            <a:extLst>
              <a:ext uri="{FF2B5EF4-FFF2-40B4-BE49-F238E27FC236}">
                <a16:creationId xmlns:a16="http://schemas.microsoft.com/office/drawing/2014/main" id="{D7EB4538-FE5A-7A60-82C8-5125F5918555}"/>
              </a:ext>
            </a:extLst>
          </xdr:cNvPr>
          <xdr:cNvSpPr/>
        </xdr:nvSpPr>
        <xdr:spPr>
          <a:xfrm>
            <a:off x="6575367" y="4596938"/>
            <a:ext cx="897775" cy="282632"/>
          </a:xfrm>
          <a:prstGeom prst="rect">
            <a:avLst/>
          </a:prstGeom>
          <a:solidFill>
            <a:srgbClr val="9EFFA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29" name="Rectangle 28">
            <a:extLst>
              <a:ext uri="{FF2B5EF4-FFF2-40B4-BE49-F238E27FC236}">
                <a16:creationId xmlns:a16="http://schemas.microsoft.com/office/drawing/2014/main" id="{B5597544-7442-F9E1-A523-782C1BF2213D}"/>
              </a:ext>
            </a:extLst>
          </xdr:cNvPr>
          <xdr:cNvSpPr/>
        </xdr:nvSpPr>
        <xdr:spPr>
          <a:xfrm>
            <a:off x="6700058" y="5378335"/>
            <a:ext cx="590203" cy="282632"/>
          </a:xfrm>
          <a:prstGeom prst="rect">
            <a:avLst/>
          </a:prstGeom>
          <a:solidFill>
            <a:srgbClr val="9DE9A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30" name="Freeform: Shape 29">
            <a:extLst>
              <a:ext uri="{FF2B5EF4-FFF2-40B4-BE49-F238E27FC236}">
                <a16:creationId xmlns:a16="http://schemas.microsoft.com/office/drawing/2014/main" id="{2E4CB3F5-11D2-DCBE-9F7E-BC62F259C416}"/>
              </a:ext>
            </a:extLst>
          </xdr:cNvPr>
          <xdr:cNvSpPr/>
        </xdr:nvSpPr>
        <xdr:spPr>
          <a:xfrm>
            <a:off x="6441141" y="4168588"/>
            <a:ext cx="891988" cy="237565"/>
          </a:xfrm>
          <a:custGeom>
            <a:avLst/>
            <a:gdLst>
              <a:gd name="connsiteX0" fmla="*/ 31377 w 891988"/>
              <a:gd name="connsiteY0" fmla="*/ 0 h 237565"/>
              <a:gd name="connsiteX1" fmla="*/ 878541 w 891988"/>
              <a:gd name="connsiteY1" fmla="*/ 44824 h 237565"/>
              <a:gd name="connsiteX2" fmla="*/ 891988 w 891988"/>
              <a:gd name="connsiteY2" fmla="*/ 147918 h 237565"/>
              <a:gd name="connsiteX3" fmla="*/ 730624 w 891988"/>
              <a:gd name="connsiteY3" fmla="*/ 188259 h 237565"/>
              <a:gd name="connsiteX4" fmla="*/ 667871 w 891988"/>
              <a:gd name="connsiteY4" fmla="*/ 237565 h 237565"/>
              <a:gd name="connsiteX5" fmla="*/ 80683 w 891988"/>
              <a:gd name="connsiteY5" fmla="*/ 228600 h 237565"/>
              <a:gd name="connsiteX6" fmla="*/ 0 w 891988"/>
              <a:gd name="connsiteY6" fmla="*/ 112059 h 237565"/>
              <a:gd name="connsiteX7" fmla="*/ 31377 w 891988"/>
              <a:gd name="connsiteY7" fmla="*/ 0 h 237565"/>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Lst>
            <a:rect l="l" t="t" r="r" b="b"/>
            <a:pathLst>
              <a:path w="891988" h="237565">
                <a:moveTo>
                  <a:pt x="31377" y="0"/>
                </a:moveTo>
                <a:lnTo>
                  <a:pt x="878541" y="44824"/>
                </a:lnTo>
                <a:lnTo>
                  <a:pt x="891988" y="147918"/>
                </a:lnTo>
                <a:lnTo>
                  <a:pt x="730624" y="188259"/>
                </a:lnTo>
                <a:lnTo>
                  <a:pt x="667871" y="237565"/>
                </a:lnTo>
                <a:lnTo>
                  <a:pt x="80683" y="228600"/>
                </a:lnTo>
                <a:lnTo>
                  <a:pt x="0" y="112059"/>
                </a:lnTo>
                <a:lnTo>
                  <a:pt x="31377" y="0"/>
                </a:lnTo>
                <a:close/>
              </a:path>
            </a:pathLst>
          </a:custGeom>
          <a:solidFill>
            <a:srgbClr val="FF9D9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31" name="Freeform: Shape 30">
            <a:extLst>
              <a:ext uri="{FF2B5EF4-FFF2-40B4-BE49-F238E27FC236}">
                <a16:creationId xmlns:a16="http://schemas.microsoft.com/office/drawing/2014/main" id="{7AEBD63C-ABF1-1B2A-D135-6A8C5FD79687}"/>
              </a:ext>
            </a:extLst>
          </xdr:cNvPr>
          <xdr:cNvSpPr/>
        </xdr:nvSpPr>
        <xdr:spPr>
          <a:xfrm>
            <a:off x="7915835" y="4424082"/>
            <a:ext cx="654424" cy="318247"/>
          </a:xfrm>
          <a:custGeom>
            <a:avLst/>
            <a:gdLst>
              <a:gd name="connsiteX0" fmla="*/ 31377 w 654424"/>
              <a:gd name="connsiteY0" fmla="*/ 0 h 318247"/>
              <a:gd name="connsiteX1" fmla="*/ 627530 w 654424"/>
              <a:gd name="connsiteY1" fmla="*/ 22412 h 318247"/>
              <a:gd name="connsiteX2" fmla="*/ 654424 w 654424"/>
              <a:gd name="connsiteY2" fmla="*/ 85165 h 318247"/>
              <a:gd name="connsiteX3" fmla="*/ 578224 w 654424"/>
              <a:gd name="connsiteY3" fmla="*/ 94130 h 318247"/>
              <a:gd name="connsiteX4" fmla="*/ 533400 w 654424"/>
              <a:gd name="connsiteY4" fmla="*/ 174812 h 318247"/>
              <a:gd name="connsiteX5" fmla="*/ 649941 w 654424"/>
              <a:gd name="connsiteY5" fmla="*/ 246530 h 318247"/>
              <a:gd name="connsiteX6" fmla="*/ 614083 w 654424"/>
              <a:gd name="connsiteY6" fmla="*/ 318247 h 318247"/>
              <a:gd name="connsiteX7" fmla="*/ 174812 w 654424"/>
              <a:gd name="connsiteY7" fmla="*/ 295836 h 318247"/>
              <a:gd name="connsiteX8" fmla="*/ 125506 w 654424"/>
              <a:gd name="connsiteY8" fmla="*/ 224118 h 318247"/>
              <a:gd name="connsiteX9" fmla="*/ 85165 w 654424"/>
              <a:gd name="connsiteY9" fmla="*/ 152400 h 318247"/>
              <a:gd name="connsiteX10" fmla="*/ 0 w 654424"/>
              <a:gd name="connsiteY10" fmla="*/ 71718 h 318247"/>
              <a:gd name="connsiteX11" fmla="*/ 31377 w 654424"/>
              <a:gd name="connsiteY11" fmla="*/ 0 h 318247"/>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Lst>
            <a:rect l="l" t="t" r="r" b="b"/>
            <a:pathLst>
              <a:path w="654424" h="318247">
                <a:moveTo>
                  <a:pt x="31377" y="0"/>
                </a:moveTo>
                <a:lnTo>
                  <a:pt x="627530" y="22412"/>
                </a:lnTo>
                <a:lnTo>
                  <a:pt x="654424" y="85165"/>
                </a:lnTo>
                <a:lnTo>
                  <a:pt x="578224" y="94130"/>
                </a:lnTo>
                <a:lnTo>
                  <a:pt x="533400" y="174812"/>
                </a:lnTo>
                <a:lnTo>
                  <a:pt x="649941" y="246530"/>
                </a:lnTo>
                <a:lnTo>
                  <a:pt x="614083" y="318247"/>
                </a:lnTo>
                <a:lnTo>
                  <a:pt x="174812" y="295836"/>
                </a:lnTo>
                <a:lnTo>
                  <a:pt x="125506" y="224118"/>
                </a:lnTo>
                <a:lnTo>
                  <a:pt x="85165" y="152400"/>
                </a:lnTo>
                <a:lnTo>
                  <a:pt x="0" y="71718"/>
                </a:lnTo>
                <a:lnTo>
                  <a:pt x="31377" y="0"/>
                </a:lnTo>
                <a:close/>
              </a:path>
            </a:pathLst>
          </a:custGeom>
          <a:solidFill>
            <a:srgbClr val="9E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32" name="Freeform: Shape 31">
            <a:extLst>
              <a:ext uri="{FF2B5EF4-FFF2-40B4-BE49-F238E27FC236}">
                <a16:creationId xmlns:a16="http://schemas.microsoft.com/office/drawing/2014/main" id="{D18D0766-AEA5-B06E-6AC9-D910491004DD}"/>
              </a:ext>
            </a:extLst>
          </xdr:cNvPr>
          <xdr:cNvSpPr/>
        </xdr:nvSpPr>
        <xdr:spPr>
          <a:xfrm>
            <a:off x="8099612" y="3706906"/>
            <a:ext cx="564776" cy="331694"/>
          </a:xfrm>
          <a:custGeom>
            <a:avLst/>
            <a:gdLst>
              <a:gd name="connsiteX0" fmla="*/ 192741 w 564776"/>
              <a:gd name="connsiteY0" fmla="*/ 0 h 331694"/>
              <a:gd name="connsiteX1" fmla="*/ 497541 w 564776"/>
              <a:gd name="connsiteY1" fmla="*/ 31376 h 331694"/>
              <a:gd name="connsiteX2" fmla="*/ 564776 w 564776"/>
              <a:gd name="connsiteY2" fmla="*/ 286870 h 331694"/>
              <a:gd name="connsiteX3" fmla="*/ 452717 w 564776"/>
              <a:gd name="connsiteY3" fmla="*/ 331694 h 331694"/>
              <a:gd name="connsiteX4" fmla="*/ 0 w 564776"/>
              <a:gd name="connsiteY4" fmla="*/ 300318 h 331694"/>
              <a:gd name="connsiteX5" fmla="*/ 76200 w 564776"/>
              <a:gd name="connsiteY5" fmla="*/ 121023 h 331694"/>
              <a:gd name="connsiteX6" fmla="*/ 192741 w 564776"/>
              <a:gd name="connsiteY6" fmla="*/ 0 h 33169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564776" h="331694">
                <a:moveTo>
                  <a:pt x="192741" y="0"/>
                </a:moveTo>
                <a:lnTo>
                  <a:pt x="497541" y="31376"/>
                </a:lnTo>
                <a:lnTo>
                  <a:pt x="564776" y="286870"/>
                </a:lnTo>
                <a:lnTo>
                  <a:pt x="452717" y="331694"/>
                </a:lnTo>
                <a:lnTo>
                  <a:pt x="0" y="300318"/>
                </a:lnTo>
                <a:lnTo>
                  <a:pt x="76200" y="121023"/>
                </a:lnTo>
                <a:lnTo>
                  <a:pt x="192741" y="0"/>
                </a:lnTo>
                <a:close/>
              </a:path>
            </a:pathLst>
          </a:custGeom>
          <a:solidFill>
            <a:srgbClr val="9DB7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33" name="Freeform: Shape 32">
            <a:extLst>
              <a:ext uri="{FF2B5EF4-FFF2-40B4-BE49-F238E27FC236}">
                <a16:creationId xmlns:a16="http://schemas.microsoft.com/office/drawing/2014/main" id="{B16CF376-A342-2168-4F9E-DC6FB9191DBC}"/>
              </a:ext>
            </a:extLst>
          </xdr:cNvPr>
          <xdr:cNvSpPr/>
        </xdr:nvSpPr>
        <xdr:spPr>
          <a:xfrm>
            <a:off x="7498976" y="2841812"/>
            <a:ext cx="730624" cy="376517"/>
          </a:xfrm>
          <a:custGeom>
            <a:avLst/>
            <a:gdLst>
              <a:gd name="connsiteX0" fmla="*/ 156883 w 730624"/>
              <a:gd name="connsiteY0" fmla="*/ 0 h 376517"/>
              <a:gd name="connsiteX1" fmla="*/ 546848 w 730624"/>
              <a:gd name="connsiteY1" fmla="*/ 0 h 376517"/>
              <a:gd name="connsiteX2" fmla="*/ 645459 w 730624"/>
              <a:gd name="connsiteY2" fmla="*/ 224117 h 376517"/>
              <a:gd name="connsiteX3" fmla="*/ 591671 w 730624"/>
              <a:gd name="connsiteY3" fmla="*/ 286870 h 376517"/>
              <a:gd name="connsiteX4" fmla="*/ 672353 w 730624"/>
              <a:gd name="connsiteY4" fmla="*/ 273423 h 376517"/>
              <a:gd name="connsiteX5" fmla="*/ 730624 w 730624"/>
              <a:gd name="connsiteY5" fmla="*/ 327212 h 376517"/>
              <a:gd name="connsiteX6" fmla="*/ 685800 w 730624"/>
              <a:gd name="connsiteY6" fmla="*/ 376517 h 376517"/>
              <a:gd name="connsiteX7" fmla="*/ 31377 w 730624"/>
              <a:gd name="connsiteY7" fmla="*/ 340659 h 376517"/>
              <a:gd name="connsiteX8" fmla="*/ 49306 w 730624"/>
              <a:gd name="connsiteY8" fmla="*/ 242047 h 376517"/>
              <a:gd name="connsiteX9" fmla="*/ 0 w 730624"/>
              <a:gd name="connsiteY9" fmla="*/ 134470 h 376517"/>
              <a:gd name="connsiteX10" fmla="*/ 156883 w 730624"/>
              <a:gd name="connsiteY10" fmla="*/ 0 h 376517"/>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Lst>
            <a:rect l="l" t="t" r="r" b="b"/>
            <a:pathLst>
              <a:path w="730624" h="376517">
                <a:moveTo>
                  <a:pt x="156883" y="0"/>
                </a:moveTo>
                <a:lnTo>
                  <a:pt x="546848" y="0"/>
                </a:lnTo>
                <a:lnTo>
                  <a:pt x="645459" y="224117"/>
                </a:lnTo>
                <a:lnTo>
                  <a:pt x="591671" y="286870"/>
                </a:lnTo>
                <a:lnTo>
                  <a:pt x="672353" y="273423"/>
                </a:lnTo>
                <a:lnTo>
                  <a:pt x="730624" y="327212"/>
                </a:lnTo>
                <a:lnTo>
                  <a:pt x="685800" y="376517"/>
                </a:lnTo>
                <a:lnTo>
                  <a:pt x="31377" y="340659"/>
                </a:lnTo>
                <a:lnTo>
                  <a:pt x="49306" y="242047"/>
                </a:lnTo>
                <a:lnTo>
                  <a:pt x="0" y="134470"/>
                </a:lnTo>
                <a:lnTo>
                  <a:pt x="156883" y="0"/>
                </a:lnTo>
                <a:close/>
              </a:path>
            </a:pathLst>
          </a:custGeom>
          <a:solidFill>
            <a:srgbClr val="AD9CF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34" name="Freeform: Shape 33">
            <a:extLst>
              <a:ext uri="{FF2B5EF4-FFF2-40B4-BE49-F238E27FC236}">
                <a16:creationId xmlns:a16="http://schemas.microsoft.com/office/drawing/2014/main" id="{042A141E-6826-F8AB-8DBE-991E6A21A331}"/>
              </a:ext>
            </a:extLst>
          </xdr:cNvPr>
          <xdr:cNvSpPr/>
        </xdr:nvSpPr>
        <xdr:spPr>
          <a:xfrm>
            <a:off x="7902388" y="2021541"/>
            <a:ext cx="443753" cy="363071"/>
          </a:xfrm>
          <a:custGeom>
            <a:avLst/>
            <a:gdLst>
              <a:gd name="connsiteX0" fmla="*/ 31377 w 443753"/>
              <a:gd name="connsiteY0" fmla="*/ 0 h 363071"/>
              <a:gd name="connsiteX1" fmla="*/ 407894 w 443753"/>
              <a:gd name="connsiteY1" fmla="*/ 53788 h 363071"/>
              <a:gd name="connsiteX2" fmla="*/ 443753 w 443753"/>
              <a:gd name="connsiteY2" fmla="*/ 295835 h 363071"/>
              <a:gd name="connsiteX3" fmla="*/ 340659 w 443753"/>
              <a:gd name="connsiteY3" fmla="*/ 358588 h 363071"/>
              <a:gd name="connsiteX4" fmla="*/ 44824 w 443753"/>
              <a:gd name="connsiteY4" fmla="*/ 363071 h 363071"/>
              <a:gd name="connsiteX5" fmla="*/ 0 w 443753"/>
              <a:gd name="connsiteY5" fmla="*/ 219635 h 363071"/>
              <a:gd name="connsiteX6" fmla="*/ 0 w 443753"/>
              <a:gd name="connsiteY6" fmla="*/ 103094 h 363071"/>
              <a:gd name="connsiteX7" fmla="*/ 31377 w 443753"/>
              <a:gd name="connsiteY7" fmla="*/ 0 h 363071"/>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Lst>
            <a:rect l="l" t="t" r="r" b="b"/>
            <a:pathLst>
              <a:path w="443753" h="363071">
                <a:moveTo>
                  <a:pt x="31377" y="0"/>
                </a:moveTo>
                <a:lnTo>
                  <a:pt x="407894" y="53788"/>
                </a:lnTo>
                <a:lnTo>
                  <a:pt x="443753" y="295835"/>
                </a:lnTo>
                <a:lnTo>
                  <a:pt x="340659" y="358588"/>
                </a:lnTo>
                <a:lnTo>
                  <a:pt x="44824" y="363071"/>
                </a:lnTo>
                <a:lnTo>
                  <a:pt x="0" y="219635"/>
                </a:lnTo>
                <a:lnTo>
                  <a:pt x="0" y="103094"/>
                </a:lnTo>
                <a:lnTo>
                  <a:pt x="31377" y="0"/>
                </a:lnTo>
                <a:close/>
              </a:path>
            </a:pathLst>
          </a:custGeom>
          <a:solidFill>
            <a:srgbClr val="FF9D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35" name="Freeform: Shape 34">
            <a:extLst>
              <a:ext uri="{FF2B5EF4-FFF2-40B4-BE49-F238E27FC236}">
                <a16:creationId xmlns:a16="http://schemas.microsoft.com/office/drawing/2014/main" id="{2DB1A6B2-B527-851E-7444-CE2D23267FB9}"/>
              </a:ext>
            </a:extLst>
          </xdr:cNvPr>
          <xdr:cNvSpPr/>
        </xdr:nvSpPr>
        <xdr:spPr>
          <a:xfrm>
            <a:off x="7655859" y="4083424"/>
            <a:ext cx="439270" cy="318247"/>
          </a:xfrm>
          <a:custGeom>
            <a:avLst/>
            <a:gdLst>
              <a:gd name="connsiteX0" fmla="*/ 143435 w 439270"/>
              <a:gd name="connsiteY0" fmla="*/ 0 h 318247"/>
              <a:gd name="connsiteX1" fmla="*/ 407894 w 439270"/>
              <a:gd name="connsiteY1" fmla="*/ 13447 h 318247"/>
              <a:gd name="connsiteX2" fmla="*/ 354106 w 439270"/>
              <a:gd name="connsiteY2" fmla="*/ 134470 h 318247"/>
              <a:gd name="connsiteX3" fmla="*/ 439270 w 439270"/>
              <a:gd name="connsiteY3" fmla="*/ 219635 h 318247"/>
              <a:gd name="connsiteX4" fmla="*/ 394447 w 439270"/>
              <a:gd name="connsiteY4" fmla="*/ 295835 h 318247"/>
              <a:gd name="connsiteX5" fmla="*/ 8965 w 439270"/>
              <a:gd name="connsiteY5" fmla="*/ 318247 h 318247"/>
              <a:gd name="connsiteX6" fmla="*/ 0 w 439270"/>
              <a:gd name="connsiteY6" fmla="*/ 242047 h 318247"/>
              <a:gd name="connsiteX7" fmla="*/ 107576 w 439270"/>
              <a:gd name="connsiteY7" fmla="*/ 206188 h 318247"/>
              <a:gd name="connsiteX8" fmla="*/ 134470 w 439270"/>
              <a:gd name="connsiteY8" fmla="*/ 129988 h 318247"/>
              <a:gd name="connsiteX9" fmla="*/ 228600 w 439270"/>
              <a:gd name="connsiteY9" fmla="*/ 98611 h 318247"/>
              <a:gd name="connsiteX10" fmla="*/ 143435 w 439270"/>
              <a:gd name="connsiteY10" fmla="*/ 71717 h 318247"/>
              <a:gd name="connsiteX11" fmla="*/ 143435 w 439270"/>
              <a:gd name="connsiteY11" fmla="*/ 0 h 318247"/>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Lst>
            <a:rect l="l" t="t" r="r" b="b"/>
            <a:pathLst>
              <a:path w="439270" h="318247">
                <a:moveTo>
                  <a:pt x="143435" y="0"/>
                </a:moveTo>
                <a:lnTo>
                  <a:pt x="407894" y="13447"/>
                </a:lnTo>
                <a:lnTo>
                  <a:pt x="354106" y="134470"/>
                </a:lnTo>
                <a:lnTo>
                  <a:pt x="439270" y="219635"/>
                </a:lnTo>
                <a:lnTo>
                  <a:pt x="394447" y="295835"/>
                </a:lnTo>
                <a:lnTo>
                  <a:pt x="8965" y="318247"/>
                </a:lnTo>
                <a:lnTo>
                  <a:pt x="0" y="242047"/>
                </a:lnTo>
                <a:lnTo>
                  <a:pt x="107576" y="206188"/>
                </a:lnTo>
                <a:lnTo>
                  <a:pt x="134470" y="129988"/>
                </a:lnTo>
                <a:lnTo>
                  <a:pt x="228600" y="98611"/>
                </a:lnTo>
                <a:lnTo>
                  <a:pt x="143435" y="71717"/>
                </a:lnTo>
                <a:lnTo>
                  <a:pt x="143435" y="0"/>
                </a:lnTo>
                <a:close/>
              </a:path>
            </a:pathLst>
          </a:custGeom>
          <a:solidFill>
            <a:srgbClr val="F5FF9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36" name="Freeform: Shape 35">
            <a:extLst>
              <a:ext uri="{FF2B5EF4-FFF2-40B4-BE49-F238E27FC236}">
                <a16:creationId xmlns:a16="http://schemas.microsoft.com/office/drawing/2014/main" id="{DF490697-63A2-AABC-A8A5-2976902BA4C9}"/>
              </a:ext>
            </a:extLst>
          </xdr:cNvPr>
          <xdr:cNvSpPr/>
        </xdr:nvSpPr>
        <xdr:spPr>
          <a:xfrm>
            <a:off x="7920318" y="3527612"/>
            <a:ext cx="242047" cy="385482"/>
          </a:xfrm>
          <a:custGeom>
            <a:avLst/>
            <a:gdLst>
              <a:gd name="connsiteX0" fmla="*/ 0 w 242047"/>
              <a:gd name="connsiteY0" fmla="*/ 147917 h 385482"/>
              <a:gd name="connsiteX1" fmla="*/ 0 w 242047"/>
              <a:gd name="connsiteY1" fmla="*/ 300317 h 385482"/>
              <a:gd name="connsiteX2" fmla="*/ 76200 w 242047"/>
              <a:gd name="connsiteY2" fmla="*/ 385482 h 385482"/>
              <a:gd name="connsiteX3" fmla="*/ 152400 w 242047"/>
              <a:gd name="connsiteY3" fmla="*/ 363070 h 385482"/>
              <a:gd name="connsiteX4" fmla="*/ 201706 w 242047"/>
              <a:gd name="connsiteY4" fmla="*/ 331694 h 385482"/>
              <a:gd name="connsiteX5" fmla="*/ 242047 w 242047"/>
              <a:gd name="connsiteY5" fmla="*/ 242047 h 385482"/>
              <a:gd name="connsiteX6" fmla="*/ 215153 w 242047"/>
              <a:gd name="connsiteY6" fmla="*/ 197223 h 385482"/>
              <a:gd name="connsiteX7" fmla="*/ 224117 w 242047"/>
              <a:gd name="connsiteY7" fmla="*/ 147917 h 385482"/>
              <a:gd name="connsiteX8" fmla="*/ 206188 w 242047"/>
              <a:gd name="connsiteY8" fmla="*/ 98612 h 385482"/>
              <a:gd name="connsiteX9" fmla="*/ 138953 w 242047"/>
              <a:gd name="connsiteY9" fmla="*/ 53788 h 385482"/>
              <a:gd name="connsiteX10" fmla="*/ 103094 w 242047"/>
              <a:gd name="connsiteY10" fmla="*/ 0 h 385482"/>
              <a:gd name="connsiteX11" fmla="*/ 76200 w 242047"/>
              <a:gd name="connsiteY11" fmla="*/ 80682 h 385482"/>
              <a:gd name="connsiteX12" fmla="*/ 62753 w 242047"/>
              <a:gd name="connsiteY12" fmla="*/ 121023 h 385482"/>
              <a:gd name="connsiteX13" fmla="*/ 0 w 242047"/>
              <a:gd name="connsiteY13" fmla="*/ 147917 h 38548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Lst>
            <a:rect l="l" t="t" r="r" b="b"/>
            <a:pathLst>
              <a:path w="242047" h="385482">
                <a:moveTo>
                  <a:pt x="0" y="147917"/>
                </a:moveTo>
                <a:lnTo>
                  <a:pt x="0" y="300317"/>
                </a:lnTo>
                <a:lnTo>
                  <a:pt x="76200" y="385482"/>
                </a:lnTo>
                <a:lnTo>
                  <a:pt x="152400" y="363070"/>
                </a:lnTo>
                <a:lnTo>
                  <a:pt x="201706" y="331694"/>
                </a:lnTo>
                <a:lnTo>
                  <a:pt x="242047" y="242047"/>
                </a:lnTo>
                <a:lnTo>
                  <a:pt x="215153" y="197223"/>
                </a:lnTo>
                <a:lnTo>
                  <a:pt x="224117" y="147917"/>
                </a:lnTo>
                <a:lnTo>
                  <a:pt x="206188" y="98612"/>
                </a:lnTo>
                <a:lnTo>
                  <a:pt x="138953" y="53788"/>
                </a:lnTo>
                <a:lnTo>
                  <a:pt x="103094" y="0"/>
                </a:lnTo>
                <a:lnTo>
                  <a:pt x="76200" y="80682"/>
                </a:lnTo>
                <a:lnTo>
                  <a:pt x="62753" y="121023"/>
                </a:lnTo>
                <a:lnTo>
                  <a:pt x="0" y="147917"/>
                </a:lnTo>
                <a:close/>
              </a:path>
            </a:pathLst>
          </a:custGeom>
          <a:solidFill>
            <a:srgbClr val="FAFF9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37" name="Freeform: Shape 36">
            <a:extLst>
              <a:ext uri="{FF2B5EF4-FFF2-40B4-BE49-F238E27FC236}">
                <a16:creationId xmlns:a16="http://schemas.microsoft.com/office/drawing/2014/main" id="{2E32F265-4CF0-7B66-3216-EAAC5428D0FC}"/>
              </a:ext>
            </a:extLst>
          </xdr:cNvPr>
          <xdr:cNvSpPr/>
        </xdr:nvSpPr>
        <xdr:spPr>
          <a:xfrm>
            <a:off x="7897906" y="3505200"/>
            <a:ext cx="67235" cy="129988"/>
          </a:xfrm>
          <a:custGeom>
            <a:avLst/>
            <a:gdLst>
              <a:gd name="connsiteX0" fmla="*/ 22412 w 67235"/>
              <a:gd name="connsiteY0" fmla="*/ 0 h 129988"/>
              <a:gd name="connsiteX1" fmla="*/ 67235 w 67235"/>
              <a:gd name="connsiteY1" fmla="*/ 44824 h 129988"/>
              <a:gd name="connsiteX2" fmla="*/ 67235 w 67235"/>
              <a:gd name="connsiteY2" fmla="*/ 129988 h 129988"/>
              <a:gd name="connsiteX3" fmla="*/ 8965 w 67235"/>
              <a:gd name="connsiteY3" fmla="*/ 103094 h 129988"/>
              <a:gd name="connsiteX4" fmla="*/ 0 w 67235"/>
              <a:gd name="connsiteY4" fmla="*/ 62753 h 129988"/>
              <a:gd name="connsiteX5" fmla="*/ 22412 w 67235"/>
              <a:gd name="connsiteY5" fmla="*/ 0 h 129988"/>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Lst>
            <a:rect l="l" t="t" r="r" b="b"/>
            <a:pathLst>
              <a:path w="67235" h="129988">
                <a:moveTo>
                  <a:pt x="22412" y="0"/>
                </a:moveTo>
                <a:lnTo>
                  <a:pt x="67235" y="44824"/>
                </a:lnTo>
                <a:lnTo>
                  <a:pt x="67235" y="129988"/>
                </a:lnTo>
                <a:lnTo>
                  <a:pt x="8965" y="103094"/>
                </a:lnTo>
                <a:lnTo>
                  <a:pt x="0" y="62753"/>
                </a:lnTo>
                <a:lnTo>
                  <a:pt x="22412" y="0"/>
                </a:lnTo>
                <a:close/>
              </a:path>
            </a:pathLst>
          </a:custGeom>
          <a:solidFill>
            <a:srgbClr val="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38" name="Freeform: Shape 37">
            <a:extLst>
              <a:ext uri="{FF2B5EF4-FFF2-40B4-BE49-F238E27FC236}">
                <a16:creationId xmlns:a16="http://schemas.microsoft.com/office/drawing/2014/main" id="{4C57E605-97F8-71E8-5D6D-72C8F8B9AC4B}"/>
              </a:ext>
            </a:extLst>
          </xdr:cNvPr>
          <xdr:cNvSpPr/>
        </xdr:nvSpPr>
        <xdr:spPr>
          <a:xfrm>
            <a:off x="7956176" y="3532094"/>
            <a:ext cx="121024" cy="85165"/>
          </a:xfrm>
          <a:custGeom>
            <a:avLst/>
            <a:gdLst>
              <a:gd name="connsiteX0" fmla="*/ 0 w 121024"/>
              <a:gd name="connsiteY0" fmla="*/ 0 h 85165"/>
              <a:gd name="connsiteX1" fmla="*/ 121024 w 121024"/>
              <a:gd name="connsiteY1" fmla="*/ 13447 h 85165"/>
              <a:gd name="connsiteX2" fmla="*/ 116542 w 121024"/>
              <a:gd name="connsiteY2" fmla="*/ 85165 h 85165"/>
              <a:gd name="connsiteX3" fmla="*/ 31377 w 121024"/>
              <a:gd name="connsiteY3" fmla="*/ 76200 h 85165"/>
              <a:gd name="connsiteX4" fmla="*/ 0 w 121024"/>
              <a:gd name="connsiteY4" fmla="*/ 0 h 85165"/>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121024" h="85165">
                <a:moveTo>
                  <a:pt x="0" y="0"/>
                </a:moveTo>
                <a:lnTo>
                  <a:pt x="121024" y="13447"/>
                </a:lnTo>
                <a:lnTo>
                  <a:pt x="116542" y="85165"/>
                </a:lnTo>
                <a:lnTo>
                  <a:pt x="31377" y="76200"/>
                </a:lnTo>
                <a:lnTo>
                  <a:pt x="0" y="0"/>
                </a:lnTo>
                <a:close/>
              </a:path>
            </a:pathLst>
          </a:custGeom>
          <a:solidFill>
            <a:srgbClr val="FBFF9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39" name="Freeform: Shape 38">
            <a:extLst>
              <a:ext uri="{FF2B5EF4-FFF2-40B4-BE49-F238E27FC236}">
                <a16:creationId xmlns:a16="http://schemas.microsoft.com/office/drawing/2014/main" id="{C411BA57-0A2D-E67E-AB1C-87C4BBD5170A}"/>
              </a:ext>
            </a:extLst>
          </xdr:cNvPr>
          <xdr:cNvSpPr/>
        </xdr:nvSpPr>
        <xdr:spPr>
          <a:xfrm>
            <a:off x="8086165" y="3527612"/>
            <a:ext cx="85164" cy="85164"/>
          </a:xfrm>
          <a:custGeom>
            <a:avLst/>
            <a:gdLst>
              <a:gd name="connsiteX0" fmla="*/ 0 w 85164"/>
              <a:gd name="connsiteY0" fmla="*/ 0 h 85164"/>
              <a:gd name="connsiteX1" fmla="*/ 4482 w 85164"/>
              <a:gd name="connsiteY1" fmla="*/ 85164 h 85164"/>
              <a:gd name="connsiteX2" fmla="*/ 71717 w 85164"/>
              <a:gd name="connsiteY2" fmla="*/ 71717 h 85164"/>
              <a:gd name="connsiteX3" fmla="*/ 85164 w 85164"/>
              <a:gd name="connsiteY3" fmla="*/ 17929 h 85164"/>
              <a:gd name="connsiteX4" fmla="*/ 0 w 85164"/>
              <a:gd name="connsiteY4" fmla="*/ 0 h 85164"/>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85164" h="85164">
                <a:moveTo>
                  <a:pt x="0" y="0"/>
                </a:moveTo>
                <a:lnTo>
                  <a:pt x="4482" y="85164"/>
                </a:lnTo>
                <a:lnTo>
                  <a:pt x="71717" y="71717"/>
                </a:lnTo>
                <a:lnTo>
                  <a:pt x="85164" y="17929"/>
                </a:lnTo>
                <a:lnTo>
                  <a:pt x="0" y="0"/>
                </a:lnTo>
                <a:close/>
              </a:path>
            </a:pathLst>
          </a:custGeom>
          <a:solidFill>
            <a:srgbClr val="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40" name="Rectangle 39">
            <a:extLst>
              <a:ext uri="{FF2B5EF4-FFF2-40B4-BE49-F238E27FC236}">
                <a16:creationId xmlns:a16="http://schemas.microsoft.com/office/drawing/2014/main" id="{E1EBD0F1-3684-6AF7-3C70-17D21D6D59BD}"/>
              </a:ext>
            </a:extLst>
          </xdr:cNvPr>
          <xdr:cNvSpPr/>
        </xdr:nvSpPr>
        <xdr:spPr>
          <a:xfrm>
            <a:off x="8346141" y="2701636"/>
            <a:ext cx="443753" cy="68458"/>
          </a:xfrm>
          <a:prstGeom prst="rect">
            <a:avLst/>
          </a:prstGeom>
          <a:solidFill>
            <a:srgbClr val="B89D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41" name="Freeform: Shape 40">
            <a:extLst>
              <a:ext uri="{FF2B5EF4-FFF2-40B4-BE49-F238E27FC236}">
                <a16:creationId xmlns:a16="http://schemas.microsoft.com/office/drawing/2014/main" id="{E2669E95-6910-D0AB-FE0E-F950F57A74C3}"/>
              </a:ext>
            </a:extLst>
          </xdr:cNvPr>
          <xdr:cNvSpPr/>
        </xdr:nvSpPr>
        <xdr:spPr>
          <a:xfrm>
            <a:off x="8435788" y="2254624"/>
            <a:ext cx="466165" cy="322729"/>
          </a:xfrm>
          <a:custGeom>
            <a:avLst/>
            <a:gdLst>
              <a:gd name="connsiteX0" fmla="*/ 13447 w 466165"/>
              <a:gd name="connsiteY0" fmla="*/ 268941 h 322729"/>
              <a:gd name="connsiteX1" fmla="*/ 0 w 466165"/>
              <a:gd name="connsiteY1" fmla="*/ 125505 h 322729"/>
              <a:gd name="connsiteX2" fmla="*/ 40341 w 466165"/>
              <a:gd name="connsiteY2" fmla="*/ 53788 h 322729"/>
              <a:gd name="connsiteX3" fmla="*/ 89647 w 466165"/>
              <a:gd name="connsiteY3" fmla="*/ 4482 h 322729"/>
              <a:gd name="connsiteX4" fmla="*/ 372036 w 466165"/>
              <a:gd name="connsiteY4" fmla="*/ 0 h 322729"/>
              <a:gd name="connsiteX5" fmla="*/ 403412 w 466165"/>
              <a:gd name="connsiteY5" fmla="*/ 80682 h 322729"/>
              <a:gd name="connsiteX6" fmla="*/ 466165 w 466165"/>
              <a:gd name="connsiteY6" fmla="*/ 165847 h 322729"/>
              <a:gd name="connsiteX7" fmla="*/ 416859 w 466165"/>
              <a:gd name="connsiteY7" fmla="*/ 237564 h 322729"/>
              <a:gd name="connsiteX8" fmla="*/ 421341 w 466165"/>
              <a:gd name="connsiteY8" fmla="*/ 304800 h 322729"/>
              <a:gd name="connsiteX9" fmla="*/ 309283 w 466165"/>
              <a:gd name="connsiteY9" fmla="*/ 318247 h 322729"/>
              <a:gd name="connsiteX10" fmla="*/ 89647 w 466165"/>
              <a:gd name="connsiteY10" fmla="*/ 322729 h 322729"/>
              <a:gd name="connsiteX11" fmla="*/ 31377 w 466165"/>
              <a:gd name="connsiteY11" fmla="*/ 322729 h 322729"/>
              <a:gd name="connsiteX12" fmla="*/ 13447 w 466165"/>
              <a:gd name="connsiteY12" fmla="*/ 268941 h 322729"/>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Lst>
            <a:rect l="l" t="t" r="r" b="b"/>
            <a:pathLst>
              <a:path w="466165" h="322729">
                <a:moveTo>
                  <a:pt x="13447" y="268941"/>
                </a:moveTo>
                <a:lnTo>
                  <a:pt x="0" y="125505"/>
                </a:lnTo>
                <a:lnTo>
                  <a:pt x="40341" y="53788"/>
                </a:lnTo>
                <a:lnTo>
                  <a:pt x="89647" y="4482"/>
                </a:lnTo>
                <a:lnTo>
                  <a:pt x="372036" y="0"/>
                </a:lnTo>
                <a:lnTo>
                  <a:pt x="403412" y="80682"/>
                </a:lnTo>
                <a:lnTo>
                  <a:pt x="466165" y="165847"/>
                </a:lnTo>
                <a:lnTo>
                  <a:pt x="416859" y="237564"/>
                </a:lnTo>
                <a:lnTo>
                  <a:pt x="421341" y="304800"/>
                </a:lnTo>
                <a:lnTo>
                  <a:pt x="309283" y="318247"/>
                </a:lnTo>
                <a:lnTo>
                  <a:pt x="89647" y="322729"/>
                </a:lnTo>
                <a:lnTo>
                  <a:pt x="31377" y="322729"/>
                </a:lnTo>
                <a:lnTo>
                  <a:pt x="13447" y="268941"/>
                </a:lnTo>
                <a:close/>
              </a:path>
            </a:pathLst>
          </a:custGeom>
          <a:solidFill>
            <a:srgbClr val="B89D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42" name="Freeform: Shape 41">
            <a:extLst>
              <a:ext uri="{FF2B5EF4-FFF2-40B4-BE49-F238E27FC236}">
                <a16:creationId xmlns:a16="http://schemas.microsoft.com/office/drawing/2014/main" id="{0F748C50-B3C2-D77A-6F4D-53D0A5D7DE83}"/>
              </a:ext>
            </a:extLst>
          </xdr:cNvPr>
          <xdr:cNvSpPr/>
        </xdr:nvSpPr>
        <xdr:spPr>
          <a:xfrm>
            <a:off x="8507506" y="1358153"/>
            <a:ext cx="488576" cy="461682"/>
          </a:xfrm>
          <a:custGeom>
            <a:avLst/>
            <a:gdLst>
              <a:gd name="connsiteX0" fmla="*/ 107576 w 488576"/>
              <a:gd name="connsiteY0" fmla="*/ 31376 h 461682"/>
              <a:gd name="connsiteX1" fmla="*/ 107576 w 488576"/>
              <a:gd name="connsiteY1" fmla="*/ 103094 h 461682"/>
              <a:gd name="connsiteX2" fmla="*/ 0 w 488576"/>
              <a:gd name="connsiteY2" fmla="*/ 161365 h 461682"/>
              <a:gd name="connsiteX3" fmla="*/ 62753 w 488576"/>
              <a:gd name="connsiteY3" fmla="*/ 255494 h 461682"/>
              <a:gd name="connsiteX4" fmla="*/ 58270 w 488576"/>
              <a:gd name="connsiteY4" fmla="*/ 372035 h 461682"/>
              <a:gd name="connsiteX5" fmla="*/ 116541 w 488576"/>
              <a:gd name="connsiteY5" fmla="*/ 439271 h 461682"/>
              <a:gd name="connsiteX6" fmla="*/ 331694 w 488576"/>
              <a:gd name="connsiteY6" fmla="*/ 461682 h 461682"/>
              <a:gd name="connsiteX7" fmla="*/ 412376 w 488576"/>
              <a:gd name="connsiteY7" fmla="*/ 421341 h 461682"/>
              <a:gd name="connsiteX8" fmla="*/ 412376 w 488576"/>
              <a:gd name="connsiteY8" fmla="*/ 372035 h 461682"/>
              <a:gd name="connsiteX9" fmla="*/ 488576 w 488576"/>
              <a:gd name="connsiteY9" fmla="*/ 327212 h 461682"/>
              <a:gd name="connsiteX10" fmla="*/ 457200 w 488576"/>
              <a:gd name="connsiteY10" fmla="*/ 277906 h 461682"/>
              <a:gd name="connsiteX11" fmla="*/ 488576 w 488576"/>
              <a:gd name="connsiteY11" fmla="*/ 179294 h 461682"/>
              <a:gd name="connsiteX12" fmla="*/ 403412 w 488576"/>
              <a:gd name="connsiteY12" fmla="*/ 103094 h 461682"/>
              <a:gd name="connsiteX13" fmla="*/ 443753 w 488576"/>
              <a:gd name="connsiteY13" fmla="*/ 58271 h 461682"/>
              <a:gd name="connsiteX14" fmla="*/ 372035 w 488576"/>
              <a:gd name="connsiteY14" fmla="*/ 0 h 461682"/>
              <a:gd name="connsiteX15" fmla="*/ 107576 w 488576"/>
              <a:gd name="connsiteY15" fmla="*/ 31376 h 46168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Lst>
            <a:rect l="l" t="t" r="r" b="b"/>
            <a:pathLst>
              <a:path w="488576" h="461682">
                <a:moveTo>
                  <a:pt x="107576" y="31376"/>
                </a:moveTo>
                <a:lnTo>
                  <a:pt x="107576" y="103094"/>
                </a:lnTo>
                <a:lnTo>
                  <a:pt x="0" y="161365"/>
                </a:lnTo>
                <a:lnTo>
                  <a:pt x="62753" y="255494"/>
                </a:lnTo>
                <a:lnTo>
                  <a:pt x="58270" y="372035"/>
                </a:lnTo>
                <a:lnTo>
                  <a:pt x="116541" y="439271"/>
                </a:lnTo>
                <a:lnTo>
                  <a:pt x="331694" y="461682"/>
                </a:lnTo>
                <a:lnTo>
                  <a:pt x="412376" y="421341"/>
                </a:lnTo>
                <a:lnTo>
                  <a:pt x="412376" y="372035"/>
                </a:lnTo>
                <a:lnTo>
                  <a:pt x="488576" y="327212"/>
                </a:lnTo>
                <a:lnTo>
                  <a:pt x="457200" y="277906"/>
                </a:lnTo>
                <a:lnTo>
                  <a:pt x="488576" y="179294"/>
                </a:lnTo>
                <a:lnTo>
                  <a:pt x="403412" y="103094"/>
                </a:lnTo>
                <a:lnTo>
                  <a:pt x="443753" y="58271"/>
                </a:lnTo>
                <a:lnTo>
                  <a:pt x="372035" y="0"/>
                </a:lnTo>
                <a:lnTo>
                  <a:pt x="107576" y="31376"/>
                </a:lnTo>
                <a:close/>
              </a:path>
            </a:pathLst>
          </a:custGeom>
          <a:solidFill>
            <a:srgbClr val="AD9CF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grpSp>
    <xdr:clientData/>
  </xdr:twoCellAnchor>
  <xdr:oneCellAnchor>
    <xdr:from>
      <xdr:col>11</xdr:col>
      <xdr:colOff>127001</xdr:colOff>
      <xdr:row>30</xdr:row>
      <xdr:rowOff>17780</xdr:rowOff>
    </xdr:from>
    <xdr:ext cx="857906" cy="655821"/>
    <xdr:sp macro="" textlink="">
      <xdr:nvSpPr>
        <xdr:cNvPr id="4" name="TextBox 3">
          <a:hlinkClick xmlns:r="http://schemas.openxmlformats.org/officeDocument/2006/relationships" r:id="rId4"/>
          <a:extLst>
            <a:ext uri="{FF2B5EF4-FFF2-40B4-BE49-F238E27FC236}">
              <a16:creationId xmlns:a16="http://schemas.microsoft.com/office/drawing/2014/main" id="{66F237FF-1ED5-D971-8929-0255D0807FBD}"/>
            </a:ext>
          </a:extLst>
        </xdr:cNvPr>
        <xdr:cNvSpPr txBox="1"/>
      </xdr:nvSpPr>
      <xdr:spPr>
        <a:xfrm>
          <a:off x="7577668" y="5859780"/>
          <a:ext cx="857906" cy="655821"/>
        </a:xfrm>
        <a:prstGeom prst="rect">
          <a:avLst/>
        </a:prstGeom>
        <a:solidFill>
          <a:srgbClr val="00B050"/>
        </a:solidFill>
        <a:effectLst>
          <a:softEdge rad="63500"/>
        </a:effectLst>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US" sz="1800">
              <a:solidFill>
                <a:schemeClr val="bg1"/>
              </a:solidFill>
            </a:rPr>
            <a:t>City of Sydney </a:t>
          </a:r>
        </a:p>
      </xdr:txBody>
    </xdr:sp>
    <xdr:clientData/>
  </xdr:oneCellAnchor>
  <xdr:oneCellAnchor>
    <xdr:from>
      <xdr:col>7</xdr:col>
      <xdr:colOff>455886</xdr:colOff>
      <xdr:row>23</xdr:row>
      <xdr:rowOff>93980</xdr:rowOff>
    </xdr:from>
    <xdr:ext cx="1288248" cy="655821"/>
    <xdr:sp macro="" textlink="">
      <xdr:nvSpPr>
        <xdr:cNvPr id="6" name="TextBox 5">
          <a:hlinkClick xmlns:r="http://schemas.openxmlformats.org/officeDocument/2006/relationships" r:id="rId5"/>
          <a:extLst>
            <a:ext uri="{FF2B5EF4-FFF2-40B4-BE49-F238E27FC236}">
              <a16:creationId xmlns:a16="http://schemas.microsoft.com/office/drawing/2014/main" id="{534AEF02-8D26-7841-B247-90C7A9D34C99}"/>
            </a:ext>
          </a:extLst>
        </xdr:cNvPr>
        <xdr:cNvSpPr txBox="1"/>
      </xdr:nvSpPr>
      <xdr:spPr>
        <a:xfrm>
          <a:off x="5197219" y="4572847"/>
          <a:ext cx="1288248" cy="655821"/>
        </a:xfrm>
        <a:prstGeom prst="rect">
          <a:avLst/>
        </a:prstGeom>
        <a:solidFill>
          <a:srgbClr val="00B050"/>
        </a:solidFill>
        <a:effectLst>
          <a:softEdge rad="63500"/>
        </a:effectLst>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US" sz="1800">
              <a:solidFill>
                <a:schemeClr val="bg1"/>
              </a:solidFill>
            </a:rPr>
            <a:t>City of Parramatta </a:t>
          </a:r>
        </a:p>
      </xdr:txBody>
    </xdr:sp>
    <xdr:clientData/>
  </xdr:oneCellAnchor>
  <xdr:oneCellAnchor>
    <xdr:from>
      <xdr:col>8</xdr:col>
      <xdr:colOff>506686</xdr:colOff>
      <xdr:row>17</xdr:row>
      <xdr:rowOff>93980</xdr:rowOff>
    </xdr:from>
    <xdr:ext cx="1288248" cy="655821"/>
    <xdr:sp macro="" textlink="">
      <xdr:nvSpPr>
        <xdr:cNvPr id="7" name="TextBox 6">
          <a:hlinkClick xmlns:r="http://schemas.openxmlformats.org/officeDocument/2006/relationships" r:id="rId6"/>
          <a:extLst>
            <a:ext uri="{FF2B5EF4-FFF2-40B4-BE49-F238E27FC236}">
              <a16:creationId xmlns:a16="http://schemas.microsoft.com/office/drawing/2014/main" id="{CE9082A6-43CA-9A4A-8F01-B6836D3B623D}"/>
            </a:ext>
          </a:extLst>
        </xdr:cNvPr>
        <xdr:cNvSpPr txBox="1"/>
      </xdr:nvSpPr>
      <xdr:spPr>
        <a:xfrm>
          <a:off x="5925353" y="3404447"/>
          <a:ext cx="1288248" cy="655821"/>
        </a:xfrm>
        <a:prstGeom prst="rect">
          <a:avLst/>
        </a:prstGeom>
        <a:solidFill>
          <a:srgbClr val="00B050"/>
        </a:solidFill>
        <a:effectLst>
          <a:softEdge rad="63500"/>
        </a:effectLst>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US" sz="1800">
              <a:solidFill>
                <a:schemeClr val="bg1"/>
              </a:solidFill>
            </a:rPr>
            <a:t>Hill Shire</a:t>
          </a:r>
          <a:r>
            <a:rPr lang="en-US" sz="1800" baseline="0">
              <a:solidFill>
                <a:schemeClr val="bg1"/>
              </a:solidFill>
            </a:rPr>
            <a:t> Council </a:t>
          </a:r>
          <a:endParaRPr lang="en-US" sz="1800">
            <a:solidFill>
              <a:schemeClr val="bg1"/>
            </a:solidFill>
          </a:endParaRPr>
        </a:p>
      </xdr:txBody>
    </xdr:sp>
    <xdr:clientData/>
  </xdr:oneCellAnchor>
  <xdr:oneCellAnchor>
    <xdr:from>
      <xdr:col>10</xdr:col>
      <xdr:colOff>574419</xdr:colOff>
      <xdr:row>18</xdr:row>
      <xdr:rowOff>157480</xdr:rowOff>
    </xdr:from>
    <xdr:ext cx="1288248" cy="374077"/>
    <xdr:sp macro="" textlink="">
      <xdr:nvSpPr>
        <xdr:cNvPr id="8" name="TextBox 7">
          <a:hlinkClick xmlns:r="http://schemas.openxmlformats.org/officeDocument/2006/relationships" r:id="rId7"/>
          <a:extLst>
            <a:ext uri="{FF2B5EF4-FFF2-40B4-BE49-F238E27FC236}">
              <a16:creationId xmlns:a16="http://schemas.microsoft.com/office/drawing/2014/main" id="{F04DDCA6-B6FB-5741-A822-642440CA3386}"/>
            </a:ext>
          </a:extLst>
        </xdr:cNvPr>
        <xdr:cNvSpPr txBox="1"/>
      </xdr:nvSpPr>
      <xdr:spPr>
        <a:xfrm>
          <a:off x="6670419" y="3571240"/>
          <a:ext cx="1288248" cy="374077"/>
        </a:xfrm>
        <a:prstGeom prst="rect">
          <a:avLst/>
        </a:prstGeom>
        <a:solidFill>
          <a:srgbClr val="00B050"/>
        </a:solidFill>
        <a:effectLst>
          <a:softEdge rad="63500"/>
        </a:effectLst>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US" sz="1800">
              <a:solidFill>
                <a:schemeClr val="bg1"/>
              </a:solidFill>
            </a:rPr>
            <a:t>Hornsby</a:t>
          </a:r>
        </a:p>
      </xdr:txBody>
    </xdr:sp>
    <xdr:clientData/>
  </xdr:oneCellAnchor>
  <xdr:oneCellAnchor>
    <xdr:from>
      <xdr:col>11</xdr:col>
      <xdr:colOff>570186</xdr:colOff>
      <xdr:row>23</xdr:row>
      <xdr:rowOff>114300</xdr:rowOff>
    </xdr:from>
    <xdr:ext cx="1288248" cy="673100"/>
    <xdr:sp macro="" textlink="">
      <xdr:nvSpPr>
        <xdr:cNvPr id="9" name="TextBox 8">
          <a:hlinkClick xmlns:r="http://schemas.openxmlformats.org/officeDocument/2006/relationships" r:id="rId8"/>
          <a:extLst>
            <a:ext uri="{FF2B5EF4-FFF2-40B4-BE49-F238E27FC236}">
              <a16:creationId xmlns:a16="http://schemas.microsoft.com/office/drawing/2014/main" id="{FC89B957-38CD-BB43-9B74-EB2906275EF9}"/>
            </a:ext>
          </a:extLst>
        </xdr:cNvPr>
        <xdr:cNvSpPr txBox="1"/>
      </xdr:nvSpPr>
      <xdr:spPr>
        <a:xfrm>
          <a:off x="8020853" y="4593167"/>
          <a:ext cx="1288248" cy="673100"/>
        </a:xfrm>
        <a:prstGeom prst="rect">
          <a:avLst/>
        </a:prstGeom>
        <a:solidFill>
          <a:srgbClr val="00B050"/>
        </a:solidFill>
        <a:effectLst>
          <a:softEdge rad="63500"/>
        </a:effectLst>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US" sz="1800">
              <a:solidFill>
                <a:schemeClr val="bg1"/>
              </a:solidFill>
            </a:rPr>
            <a:t>North Sydney</a:t>
          </a:r>
        </a:p>
      </xdr:txBody>
    </xdr:sp>
    <xdr:clientData/>
  </xdr:oneCellAnchor>
  <xdr:oneCellAnchor>
    <xdr:from>
      <xdr:col>12</xdr:col>
      <xdr:colOff>345655</xdr:colOff>
      <xdr:row>29</xdr:row>
      <xdr:rowOff>119380</xdr:rowOff>
    </xdr:from>
    <xdr:ext cx="1163310" cy="374077"/>
    <xdr:sp macro="" textlink="">
      <xdr:nvSpPr>
        <xdr:cNvPr id="10" name="TextBox 9">
          <a:hlinkClick xmlns:r="http://schemas.openxmlformats.org/officeDocument/2006/relationships" r:id="rId9"/>
          <a:extLst>
            <a:ext uri="{FF2B5EF4-FFF2-40B4-BE49-F238E27FC236}">
              <a16:creationId xmlns:a16="http://schemas.microsoft.com/office/drawing/2014/main" id="{25C71149-CC62-CD48-833A-F2037D1F5081}"/>
            </a:ext>
          </a:extLst>
        </xdr:cNvPr>
        <xdr:cNvSpPr txBox="1"/>
      </xdr:nvSpPr>
      <xdr:spPr>
        <a:xfrm>
          <a:off x="8473655" y="5766647"/>
          <a:ext cx="1163310" cy="374077"/>
        </a:xfrm>
        <a:prstGeom prst="rect">
          <a:avLst/>
        </a:prstGeom>
        <a:solidFill>
          <a:srgbClr val="00B050"/>
        </a:solidFill>
        <a:effectLst>
          <a:softEdge rad="63500"/>
        </a:effectLst>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US" sz="1800">
              <a:solidFill>
                <a:schemeClr val="bg1"/>
              </a:solidFill>
            </a:rPr>
            <a:t>Woollahra</a:t>
          </a:r>
        </a:p>
      </xdr:txBody>
    </xdr:sp>
    <xdr:clientData/>
  </xdr:oneCellAnchor>
  <xdr:twoCellAnchor>
    <xdr:from>
      <xdr:col>17</xdr:col>
      <xdr:colOff>571500</xdr:colOff>
      <xdr:row>20</xdr:row>
      <xdr:rowOff>88900</xdr:rowOff>
    </xdr:from>
    <xdr:to>
      <xdr:col>20</xdr:col>
      <xdr:colOff>80340</xdr:colOff>
      <xdr:row>24</xdr:row>
      <xdr:rowOff>5380</xdr:rowOff>
    </xdr:to>
    <xdr:sp macro="" textlink="">
      <xdr:nvSpPr>
        <xdr:cNvPr id="12" name="Right Arrow 11">
          <a:hlinkClick xmlns:r="http://schemas.openxmlformats.org/officeDocument/2006/relationships" r:id="rId10"/>
          <a:extLst>
            <a:ext uri="{FF2B5EF4-FFF2-40B4-BE49-F238E27FC236}">
              <a16:creationId xmlns:a16="http://schemas.microsoft.com/office/drawing/2014/main" id="{457D9B55-AFC5-349C-33F9-5C79A0437B10}"/>
            </a:ext>
          </a:extLst>
        </xdr:cNvPr>
        <xdr:cNvSpPr/>
      </xdr:nvSpPr>
      <xdr:spPr>
        <a:xfrm>
          <a:off x="10934700" y="3868420"/>
          <a:ext cx="3456000" cy="648000"/>
        </a:xfrm>
        <a:prstGeom prst="roundRect">
          <a:avLst>
            <a:gd name="adj" fmla="val 50000"/>
          </a:avLst>
        </a:prstGeom>
        <a:solidFill>
          <a:srgbClr val="002060"/>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r>
            <a:rPr lang="en-US" sz="2400" b="1"/>
            <a:t>Comparitive</a:t>
          </a:r>
          <a:r>
            <a:rPr lang="en-US" sz="2400" b="1" baseline="0"/>
            <a:t> Data (KPI)</a:t>
          </a:r>
          <a:endParaRPr lang="en-US" sz="2400" b="1"/>
        </a:p>
      </xdr:txBody>
    </xdr:sp>
    <xdr:clientData/>
  </xdr:twoCellAnchor>
  <xdr:twoCellAnchor>
    <xdr:from>
      <xdr:col>17</xdr:col>
      <xdr:colOff>862754</xdr:colOff>
      <xdr:row>2</xdr:row>
      <xdr:rowOff>106680</xdr:rowOff>
    </xdr:from>
    <xdr:to>
      <xdr:col>19</xdr:col>
      <xdr:colOff>60960</xdr:colOff>
      <xdr:row>4</xdr:row>
      <xdr:rowOff>152400</xdr:rowOff>
    </xdr:to>
    <xdr:sp macro="" textlink="">
      <xdr:nvSpPr>
        <xdr:cNvPr id="17" name="TextBox 16">
          <a:extLst>
            <a:ext uri="{FF2B5EF4-FFF2-40B4-BE49-F238E27FC236}">
              <a16:creationId xmlns:a16="http://schemas.microsoft.com/office/drawing/2014/main" id="{8D2021FD-F075-6E9B-B772-80091333567D}"/>
            </a:ext>
          </a:extLst>
        </xdr:cNvPr>
        <xdr:cNvSpPr txBox="1"/>
      </xdr:nvSpPr>
      <xdr:spPr>
        <a:xfrm>
          <a:off x="11225954" y="472440"/>
          <a:ext cx="2535766" cy="4114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i="1" u="sng">
              <a:solidFill>
                <a:srgbClr val="C00000"/>
              </a:solidFill>
            </a:rPr>
            <a:t>All figures</a:t>
          </a:r>
          <a:r>
            <a:rPr lang="en-US" sz="1800" i="1" u="sng" baseline="0">
              <a:solidFill>
                <a:srgbClr val="C00000"/>
              </a:solidFill>
            </a:rPr>
            <a:t> are in </a:t>
          </a:r>
          <a:r>
            <a:rPr lang="en-US" sz="1800" i="1" u="sng">
              <a:solidFill>
                <a:srgbClr val="C00000"/>
              </a:solidFill>
            </a:rPr>
            <a:t>$</a:t>
          </a:r>
          <a:r>
            <a:rPr lang="en-US" sz="1800" i="1" u="sng" baseline="0">
              <a:solidFill>
                <a:srgbClr val="C00000"/>
              </a:solidFill>
            </a:rPr>
            <a:t> '000</a:t>
          </a:r>
          <a:endParaRPr lang="en-US" sz="1800" i="1" u="sng">
            <a:solidFill>
              <a:srgbClr val="C00000"/>
            </a:solidFill>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30</xdr:col>
      <xdr:colOff>650240</xdr:colOff>
      <xdr:row>5</xdr:row>
      <xdr:rowOff>174625</xdr:rowOff>
    </xdr:from>
    <xdr:to>
      <xdr:col>39</xdr:col>
      <xdr:colOff>383540</xdr:colOff>
      <xdr:row>34</xdr:row>
      <xdr:rowOff>35561</xdr:rowOff>
    </xdr:to>
    <xdr:graphicFrame macro="">
      <xdr:nvGraphicFramePr>
        <xdr:cNvPr id="2" name="Chart 1">
          <a:extLst>
            <a:ext uri="{FF2B5EF4-FFF2-40B4-BE49-F238E27FC236}">
              <a16:creationId xmlns:a16="http://schemas.microsoft.com/office/drawing/2014/main" id="{E1289F2E-BB53-B1DC-5523-E8F8782AB8E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8</xdr:col>
      <xdr:colOff>559912</xdr:colOff>
      <xdr:row>6</xdr:row>
      <xdr:rowOff>130151</xdr:rowOff>
    </xdr:from>
    <xdr:to>
      <xdr:col>21</xdr:col>
      <xdr:colOff>324452</xdr:colOff>
      <xdr:row>29</xdr:row>
      <xdr:rowOff>9270</xdr:rowOff>
    </xdr:to>
    <xdr:graphicFrame macro="">
      <xdr:nvGraphicFramePr>
        <xdr:cNvPr id="2" name="Chart 1">
          <a:extLst>
            <a:ext uri="{FF2B5EF4-FFF2-40B4-BE49-F238E27FC236}">
              <a16:creationId xmlns:a16="http://schemas.microsoft.com/office/drawing/2014/main" id="{D519AEBC-5107-92FA-F828-F44C690ABC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19</xdr:col>
      <xdr:colOff>42333</xdr:colOff>
      <xdr:row>2</xdr:row>
      <xdr:rowOff>114300</xdr:rowOff>
    </xdr:from>
    <xdr:to>
      <xdr:col>21</xdr:col>
      <xdr:colOff>343733</xdr:colOff>
      <xdr:row>4</xdr:row>
      <xdr:rowOff>139900</xdr:rowOff>
    </xdr:to>
    <xdr:sp macro="" textlink="">
      <xdr:nvSpPr>
        <xdr:cNvPr id="7" name="Left Arrow 6">
          <a:hlinkClick xmlns:r="http://schemas.openxmlformats.org/officeDocument/2006/relationships" r:id="rId2"/>
          <a:extLst>
            <a:ext uri="{FF2B5EF4-FFF2-40B4-BE49-F238E27FC236}">
              <a16:creationId xmlns:a16="http://schemas.microsoft.com/office/drawing/2014/main" id="{2D181B9C-9623-ED41-B661-4A111D65BF29}"/>
            </a:ext>
          </a:extLst>
        </xdr:cNvPr>
        <xdr:cNvSpPr/>
      </xdr:nvSpPr>
      <xdr:spPr>
        <a:xfrm>
          <a:off x="19105033" y="1066800"/>
          <a:ext cx="1800000" cy="432000"/>
        </a:xfrm>
        <a:prstGeom prst="roundRect">
          <a:avLst>
            <a:gd name="adj" fmla="val 50000"/>
          </a:avLst>
        </a:prstGeom>
        <a:solidFill>
          <a:srgbClr val="00206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800" b="1"/>
            <a:t>Back to Map</a:t>
          </a:r>
        </a:p>
      </xdr:txBody>
    </xdr:sp>
    <xdr:clientData/>
  </xdr:twoCellAnchor>
  <xdr:twoCellAnchor>
    <xdr:from>
      <xdr:col>0</xdr:col>
      <xdr:colOff>836505</xdr:colOff>
      <xdr:row>31</xdr:row>
      <xdr:rowOff>154095</xdr:rowOff>
    </xdr:from>
    <xdr:to>
      <xdr:col>21</xdr:col>
      <xdr:colOff>347133</xdr:colOff>
      <xdr:row>45</xdr:row>
      <xdr:rowOff>169334</xdr:rowOff>
    </xdr:to>
    <xdr:sp macro="" textlink="">
      <xdr:nvSpPr>
        <xdr:cNvPr id="8" name="TextBox 7">
          <a:extLst>
            <a:ext uri="{FF2B5EF4-FFF2-40B4-BE49-F238E27FC236}">
              <a16:creationId xmlns:a16="http://schemas.microsoft.com/office/drawing/2014/main" id="{6866B2C3-3DE5-999D-2709-40356F432B25}"/>
            </a:ext>
          </a:extLst>
        </xdr:cNvPr>
        <xdr:cNvSpPr txBox="1"/>
      </xdr:nvSpPr>
      <xdr:spPr>
        <a:xfrm>
          <a:off x="836505" y="6935895"/>
          <a:ext cx="19288761" cy="274150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u="sng">
              <a:solidFill>
                <a:schemeClr val="accent1"/>
              </a:solidFill>
            </a:rPr>
            <a:t>Findings -</a:t>
          </a:r>
          <a:r>
            <a:rPr lang="en-US" sz="2000" b="1" u="sng" baseline="0">
              <a:solidFill>
                <a:schemeClr val="accent1"/>
              </a:solidFill>
            </a:rPr>
            <a:t> </a:t>
          </a:r>
        </a:p>
        <a:p>
          <a:endParaRPr lang="en-US" sz="1600" baseline="0"/>
        </a:p>
        <a:p>
          <a:r>
            <a:rPr lang="en-US" sz="1600" b="1"/>
            <a:t>1. Strong revenue performance with notable improvement over prior year</a:t>
          </a:r>
        </a:p>
        <a:p>
          <a:r>
            <a:rPr lang="en-US" sz="1600"/>
            <a:t>Sydney’s total revenue grew </a:t>
          </a:r>
          <a:r>
            <a:rPr lang="en-US" sz="1600" b="0"/>
            <a:t>from $894.6M (FY24) to $909.7M (FY25 Actual), exceeding its budget of $845.7M</a:t>
          </a:r>
          <a:r>
            <a:rPr lang="en-US" sz="1600"/>
            <a:t>.</a:t>
          </a:r>
          <a:r>
            <a:rPr lang="en-US" sz="1600" baseline="0"/>
            <a:t> </a:t>
          </a:r>
          <a:r>
            <a:rPr lang="en-US" sz="1600"/>
            <a:t>This was driven by higher-than-expected user charges, other income, and strong capital grants.</a:t>
          </a:r>
        </a:p>
        <a:p>
          <a:r>
            <a:rPr lang="en-US" sz="1600" b="1"/>
            <a:t>2. Operating surplus remains healthy despite expense pressures</a:t>
          </a:r>
        </a:p>
        <a:p>
          <a:r>
            <a:rPr lang="en-US" sz="1600"/>
            <a:t>Operating result improved from </a:t>
          </a:r>
          <a:r>
            <a:rPr lang="en-US" sz="1600" b="0"/>
            <a:t>$147.9M (FY24) to $133.5M (FY25) — so still strong but slightly lower YoY.</a:t>
          </a:r>
          <a:r>
            <a:rPr lang="en-US" sz="1600" b="0" baseline="0"/>
            <a:t> </a:t>
          </a:r>
          <a:r>
            <a:rPr lang="en-US" sz="1600" b="0"/>
            <a:t>While total expenses exceeded budget by $42.6M, the operating margin remains solid at ~15% of revenue, indica</a:t>
          </a:r>
          <a:r>
            <a:rPr lang="en-US" sz="1600"/>
            <a:t>ting strong financial capacity and efficiency.</a:t>
          </a:r>
        </a:p>
        <a:p>
          <a:r>
            <a:rPr lang="en-US" sz="1600" b="1"/>
            <a:t>3. Low reliance on capital grants for sustainability</a:t>
          </a:r>
        </a:p>
        <a:p>
          <a:r>
            <a:rPr lang="en-US" sz="1600"/>
            <a:t>Net operating </a:t>
          </a:r>
          <a:r>
            <a:rPr lang="en-US" sz="1600" b="0"/>
            <a:t>result before capital grants stayed positive at $22.1M, showing </a:t>
          </a:r>
          <a:r>
            <a:rPr lang="en-US" sz="1600"/>
            <a:t>Sydney can sustain operations even without capital funding.</a:t>
          </a:r>
          <a:r>
            <a:rPr lang="en-US" sz="1600" baseline="0"/>
            <a:t> </a:t>
          </a:r>
          <a:r>
            <a:rPr lang="en-US" sz="1600"/>
            <a:t>This positions the council as relatively financially resilient compared to others.</a:t>
          </a:r>
        </a:p>
        <a:p>
          <a:endParaRPr lang="en-US" sz="1100"/>
        </a:p>
      </xdr:txBody>
    </xdr:sp>
    <xdr:clientData/>
  </xdr:twoCellAnchor>
  <xdr:twoCellAnchor>
    <xdr:from>
      <xdr:col>0</xdr:col>
      <xdr:colOff>815309</xdr:colOff>
      <xdr:row>0</xdr:row>
      <xdr:rowOff>109753</xdr:rowOff>
    </xdr:from>
    <xdr:to>
      <xdr:col>3</xdr:col>
      <xdr:colOff>235185</xdr:colOff>
      <xdr:row>0</xdr:row>
      <xdr:rowOff>736914</xdr:rowOff>
    </xdr:to>
    <xdr:sp macro="" textlink="">
      <xdr:nvSpPr>
        <xdr:cNvPr id="4" name="TextBox 3">
          <a:extLst>
            <a:ext uri="{FF2B5EF4-FFF2-40B4-BE49-F238E27FC236}">
              <a16:creationId xmlns:a16="http://schemas.microsoft.com/office/drawing/2014/main" id="{94EC32C2-80C5-EB17-0D49-E7F0EEF28A10}"/>
            </a:ext>
          </a:extLst>
        </xdr:cNvPr>
        <xdr:cNvSpPr txBox="1"/>
      </xdr:nvSpPr>
      <xdr:spPr>
        <a:xfrm>
          <a:off x="815309" y="109753"/>
          <a:ext cx="4656666" cy="62716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3200" b="1">
              <a:solidFill>
                <a:schemeClr val="accent1"/>
              </a:solidFill>
            </a:rPr>
            <a:t>City of Sydney </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8</xdr:col>
      <xdr:colOff>768350</xdr:colOff>
      <xdr:row>5</xdr:row>
      <xdr:rowOff>76200</xdr:rowOff>
    </xdr:from>
    <xdr:to>
      <xdr:col>10</xdr:col>
      <xdr:colOff>3276600</xdr:colOff>
      <xdr:row>25</xdr:row>
      <xdr:rowOff>0</xdr:rowOff>
    </xdr:to>
    <xdr:graphicFrame macro="">
      <xdr:nvGraphicFramePr>
        <xdr:cNvPr id="2" name="Chart 1">
          <a:extLst>
            <a:ext uri="{FF2B5EF4-FFF2-40B4-BE49-F238E27FC236}">
              <a16:creationId xmlns:a16="http://schemas.microsoft.com/office/drawing/2014/main" id="{B091EB4D-68A1-E7CE-2652-E6D4F31B57C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1206500</xdr:colOff>
      <xdr:row>1</xdr:row>
      <xdr:rowOff>88900</xdr:rowOff>
    </xdr:from>
    <xdr:to>
      <xdr:col>10</xdr:col>
      <xdr:colOff>3006500</xdr:colOff>
      <xdr:row>3</xdr:row>
      <xdr:rowOff>139900</xdr:rowOff>
    </xdr:to>
    <xdr:sp macro="" textlink="">
      <xdr:nvSpPr>
        <xdr:cNvPr id="5" name="Left Arrow 4">
          <a:hlinkClick xmlns:r="http://schemas.openxmlformats.org/officeDocument/2006/relationships" r:id="rId2"/>
          <a:extLst>
            <a:ext uri="{FF2B5EF4-FFF2-40B4-BE49-F238E27FC236}">
              <a16:creationId xmlns:a16="http://schemas.microsoft.com/office/drawing/2014/main" id="{A3D5BAA6-9B56-1B4C-9C68-C69441FC402F}"/>
            </a:ext>
          </a:extLst>
        </xdr:cNvPr>
        <xdr:cNvSpPr/>
      </xdr:nvSpPr>
      <xdr:spPr>
        <a:xfrm>
          <a:off x="19697700" y="736600"/>
          <a:ext cx="1800000" cy="432000"/>
        </a:xfrm>
        <a:prstGeom prst="roundRect">
          <a:avLst>
            <a:gd name="adj" fmla="val 50000"/>
          </a:avLst>
        </a:prstGeom>
        <a:solidFill>
          <a:srgbClr val="00206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800" b="1"/>
            <a:t>Back to Map</a:t>
          </a:r>
        </a:p>
      </xdr:txBody>
    </xdr:sp>
    <xdr:clientData/>
  </xdr:twoCellAnchor>
  <xdr:twoCellAnchor>
    <xdr:from>
      <xdr:col>1</xdr:col>
      <xdr:colOff>15874</xdr:colOff>
      <xdr:row>32</xdr:row>
      <xdr:rowOff>47625</xdr:rowOff>
    </xdr:from>
    <xdr:to>
      <xdr:col>10</xdr:col>
      <xdr:colOff>3397249</xdr:colOff>
      <xdr:row>47</xdr:row>
      <xdr:rowOff>47625</xdr:rowOff>
    </xdr:to>
    <xdr:sp macro="" textlink="">
      <xdr:nvSpPr>
        <xdr:cNvPr id="6" name="TextBox 5">
          <a:extLst>
            <a:ext uri="{FF2B5EF4-FFF2-40B4-BE49-F238E27FC236}">
              <a16:creationId xmlns:a16="http://schemas.microsoft.com/office/drawing/2014/main" id="{A4D77ABA-76F7-5241-B418-F55FFCDE3EB8}"/>
            </a:ext>
          </a:extLst>
        </xdr:cNvPr>
        <xdr:cNvSpPr txBox="1"/>
      </xdr:nvSpPr>
      <xdr:spPr>
        <a:xfrm>
          <a:off x="1000124" y="8413750"/>
          <a:ext cx="20589875" cy="28575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u="sng">
              <a:solidFill>
                <a:schemeClr val="accent3"/>
              </a:solidFill>
            </a:rPr>
            <a:t>Findings</a:t>
          </a:r>
          <a:r>
            <a:rPr lang="en-US" sz="2400" b="1" u="sng" baseline="0">
              <a:solidFill>
                <a:schemeClr val="accent3"/>
              </a:solidFill>
            </a:rPr>
            <a:t> - </a:t>
          </a:r>
          <a:r>
            <a:rPr lang="en-US" sz="2400" baseline="0">
              <a:solidFill>
                <a:schemeClr val="accent3"/>
              </a:solidFill>
            </a:rPr>
            <a:t> </a:t>
          </a:r>
        </a:p>
        <a:p>
          <a:endParaRPr lang="en-US" sz="2400" baseline="0"/>
        </a:p>
        <a:p>
          <a:r>
            <a:rPr lang="en-US" sz="1600" b="1"/>
            <a:t>1. Revenue performed better than budget but declined year-on-year</a:t>
          </a:r>
          <a:br>
            <a:rPr lang="en-US" sz="1600"/>
          </a:br>
          <a:r>
            <a:rPr lang="en-US" sz="1600"/>
            <a:t>Parramatta’s FY25 revenue of $439.2M exceeded the FY25 budget by $17.4M, supported by higher user charges, interest income, and other income.</a:t>
          </a:r>
          <a:r>
            <a:rPr lang="en-US" sz="1600" baseline="0"/>
            <a:t> </a:t>
          </a:r>
          <a:r>
            <a:rPr lang="en-US" sz="1600"/>
            <a:t>However, compared to FY24’s $471.8M, total revenue decreased due to a significant reduction in capital grants.</a:t>
          </a:r>
        </a:p>
        <a:p>
          <a:r>
            <a:rPr lang="en-US" sz="1600" b="1"/>
            <a:t>2. Significant expense overruns impacted operating result</a:t>
          </a:r>
        </a:p>
        <a:p>
          <a:r>
            <a:rPr lang="en-US" sz="1600" b="0"/>
            <a:t>Expenses rose sharply to $313.5M (FY25) vs budgeted $273.8M, a $39.7M overrun.</a:t>
          </a:r>
          <a:r>
            <a:rPr lang="en-US" sz="1600" b="0" baseline="0"/>
            <a:t> </a:t>
          </a:r>
          <a:r>
            <a:rPr lang="en-US" sz="1600" b="0"/>
            <a:t>This led to a weaker operating result of $55.7M, falling 37% short of budget and significantly below FY24 levels.</a:t>
          </a:r>
        </a:p>
        <a:p>
          <a:r>
            <a:rPr lang="en-US" sz="1600" b="1"/>
            <a:t>3. Underlying sustainability remains a concern</a:t>
          </a:r>
        </a:p>
        <a:p>
          <a:r>
            <a:rPr lang="en-US" sz="1600" b="0"/>
            <a:t>Net operating result before capital grants was –$13.5M, versus +$31.1M the prior year.</a:t>
          </a:r>
          <a:r>
            <a:rPr lang="en-US" sz="1600" b="0" baseline="0"/>
            <a:t> </a:t>
          </a:r>
          <a:r>
            <a:rPr lang="en-US" sz="1600" b="0"/>
            <a:t>This indicates the council operated at a structural deficit in FY25 without capital funding — a key risk indicator.</a:t>
          </a:r>
        </a:p>
        <a:p>
          <a:endParaRPr lang="en-US" sz="1600"/>
        </a:p>
      </xdr:txBody>
    </xdr:sp>
    <xdr:clientData/>
  </xdr:twoCellAnchor>
  <xdr:twoCellAnchor>
    <xdr:from>
      <xdr:col>1</xdr:col>
      <xdr:colOff>0</xdr:colOff>
      <xdr:row>0</xdr:row>
      <xdr:rowOff>76200</xdr:rowOff>
    </xdr:from>
    <xdr:to>
      <xdr:col>3</xdr:col>
      <xdr:colOff>478366</xdr:colOff>
      <xdr:row>1</xdr:row>
      <xdr:rowOff>55661</xdr:rowOff>
    </xdr:to>
    <xdr:sp macro="" textlink="">
      <xdr:nvSpPr>
        <xdr:cNvPr id="7" name="TextBox 6">
          <a:extLst>
            <a:ext uri="{FF2B5EF4-FFF2-40B4-BE49-F238E27FC236}">
              <a16:creationId xmlns:a16="http://schemas.microsoft.com/office/drawing/2014/main" id="{3C96503E-6DCF-0E4D-87BB-E8FBE968BD74}"/>
            </a:ext>
          </a:extLst>
        </xdr:cNvPr>
        <xdr:cNvSpPr txBox="1"/>
      </xdr:nvSpPr>
      <xdr:spPr>
        <a:xfrm>
          <a:off x="977900" y="76200"/>
          <a:ext cx="4656666" cy="62716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3200" b="1">
              <a:solidFill>
                <a:schemeClr val="accent3"/>
              </a:solidFill>
            </a:rPr>
            <a:t>City of Parramatta</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8</xdr:col>
      <xdr:colOff>549647</xdr:colOff>
      <xdr:row>5</xdr:row>
      <xdr:rowOff>82607</xdr:rowOff>
    </xdr:from>
    <xdr:to>
      <xdr:col>20</xdr:col>
      <xdr:colOff>529681</xdr:colOff>
      <xdr:row>26</xdr:row>
      <xdr:rowOff>82492</xdr:rowOff>
    </xdr:to>
    <xdr:graphicFrame macro="">
      <xdr:nvGraphicFramePr>
        <xdr:cNvPr id="2" name="Chart 1">
          <a:extLst>
            <a:ext uri="{FF2B5EF4-FFF2-40B4-BE49-F238E27FC236}">
              <a16:creationId xmlns:a16="http://schemas.microsoft.com/office/drawing/2014/main" id="{30CC40DF-FA05-C355-03CE-25EEFC6803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18</xdr:col>
      <xdr:colOff>101600</xdr:colOff>
      <xdr:row>2</xdr:row>
      <xdr:rowOff>29307</xdr:rowOff>
    </xdr:from>
    <xdr:to>
      <xdr:col>20</xdr:col>
      <xdr:colOff>403000</xdr:colOff>
      <xdr:row>4</xdr:row>
      <xdr:rowOff>54907</xdr:rowOff>
    </xdr:to>
    <xdr:sp macro="" textlink="">
      <xdr:nvSpPr>
        <xdr:cNvPr id="7" name="Left Arrow 6">
          <a:hlinkClick xmlns:r="http://schemas.openxmlformats.org/officeDocument/2006/relationships" r:id="rId2"/>
          <a:extLst>
            <a:ext uri="{FF2B5EF4-FFF2-40B4-BE49-F238E27FC236}">
              <a16:creationId xmlns:a16="http://schemas.microsoft.com/office/drawing/2014/main" id="{8511A8BF-C07F-A54C-B251-F0FEC1FE2FA6}"/>
            </a:ext>
          </a:extLst>
        </xdr:cNvPr>
        <xdr:cNvSpPr/>
      </xdr:nvSpPr>
      <xdr:spPr>
        <a:xfrm>
          <a:off x="18415000" y="854807"/>
          <a:ext cx="1800000" cy="432000"/>
        </a:xfrm>
        <a:prstGeom prst="roundRect">
          <a:avLst>
            <a:gd name="adj" fmla="val 50000"/>
          </a:avLst>
        </a:prstGeom>
        <a:solidFill>
          <a:srgbClr val="00206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800" b="1"/>
            <a:t>Back to Map</a:t>
          </a:r>
        </a:p>
      </xdr:txBody>
    </xdr:sp>
    <xdr:clientData/>
  </xdr:twoCellAnchor>
  <xdr:twoCellAnchor>
    <xdr:from>
      <xdr:col>1</xdr:col>
      <xdr:colOff>19538</xdr:colOff>
      <xdr:row>32</xdr:row>
      <xdr:rowOff>100949</xdr:rowOff>
    </xdr:from>
    <xdr:to>
      <xdr:col>20</xdr:col>
      <xdr:colOff>643466</xdr:colOff>
      <xdr:row>47</xdr:row>
      <xdr:rowOff>0</xdr:rowOff>
    </xdr:to>
    <xdr:sp macro="" textlink="">
      <xdr:nvSpPr>
        <xdr:cNvPr id="8" name="TextBox 7">
          <a:extLst>
            <a:ext uri="{FF2B5EF4-FFF2-40B4-BE49-F238E27FC236}">
              <a16:creationId xmlns:a16="http://schemas.microsoft.com/office/drawing/2014/main" id="{19314966-9ACF-D946-BEC9-3BE630CC9C68}"/>
            </a:ext>
          </a:extLst>
        </xdr:cNvPr>
        <xdr:cNvSpPr txBox="1"/>
      </xdr:nvSpPr>
      <xdr:spPr>
        <a:xfrm>
          <a:off x="866205" y="7958016"/>
          <a:ext cx="20435928" cy="269305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u="sng">
              <a:solidFill>
                <a:schemeClr val="accent2"/>
              </a:solidFill>
            </a:rPr>
            <a:t>Findings</a:t>
          </a:r>
          <a:r>
            <a:rPr lang="en-US" sz="2400" b="1" u="sng" baseline="0">
              <a:solidFill>
                <a:schemeClr val="accent2"/>
              </a:solidFill>
            </a:rPr>
            <a:t> - </a:t>
          </a:r>
        </a:p>
        <a:p>
          <a:endParaRPr lang="en-US" sz="2400" baseline="0"/>
        </a:p>
        <a:p>
          <a:r>
            <a:rPr lang="en-US" sz="1600" b="1"/>
            <a:t>1. Exceptional revenue performance driven by capital grants</a:t>
          </a:r>
        </a:p>
        <a:p>
          <a:r>
            <a:rPr lang="en-US" sz="1600" b="0"/>
            <a:t>Hills grew revenues to $417.5M, far above both FY24 ($383.5M) and budget ($324.7M).</a:t>
          </a:r>
          <a:r>
            <a:rPr lang="en-US" sz="1600" b="0" baseline="0"/>
            <a:t> </a:t>
          </a:r>
          <a:r>
            <a:rPr lang="en-US" sz="1600" b="0"/>
            <a:t>The biggest driver was capital grants, which exceeded budget by $64.8M.</a:t>
          </a:r>
        </a:p>
        <a:p>
          <a:r>
            <a:rPr lang="en-US" sz="1600" b="1"/>
            <a:t>2. Strongest operating result </a:t>
          </a:r>
        </a:p>
        <a:p>
          <a:r>
            <a:rPr lang="en-US" sz="1600" b="0"/>
            <a:t>Operating result reached $196.4M, a 21% YoY increase and almost $80M above budget.</a:t>
          </a:r>
          <a:r>
            <a:rPr lang="en-US" sz="1600" b="0" baseline="0"/>
            <a:t> </a:t>
          </a:r>
          <a:r>
            <a:rPr lang="en-US" sz="1600" b="0"/>
            <a:t>This indicates Hills had the strongest overall financial performance in operational terms.</a:t>
          </a:r>
        </a:p>
        <a:p>
          <a:r>
            <a:rPr lang="en-US" sz="1600" b="1"/>
            <a:t>3. Underlying operations remain positive but heavily grant-dependent</a:t>
          </a:r>
        </a:p>
        <a:p>
          <a:r>
            <a:rPr lang="en-US" sz="1600" b="0"/>
            <a:t>Net operating result before capital grants improved to $29.2M, over 300% higher than FY24, but still represents only ~7% of revenue.</a:t>
          </a:r>
          <a:r>
            <a:rPr lang="en-US" sz="1600" b="0" baseline="0"/>
            <a:t> </a:t>
          </a:r>
          <a:r>
            <a:rPr lang="en-US" sz="1600" b="0"/>
            <a:t>A large portion of Hills’ performance uplift is from capital funding, suggesting mild sustainability risk if grant levels normalise.</a:t>
          </a:r>
        </a:p>
        <a:p>
          <a:endParaRPr lang="en-US" sz="1600"/>
        </a:p>
      </xdr:txBody>
    </xdr:sp>
    <xdr:clientData/>
  </xdr:twoCellAnchor>
  <xdr:twoCellAnchor>
    <xdr:from>
      <xdr:col>1</xdr:col>
      <xdr:colOff>0</xdr:colOff>
      <xdr:row>0</xdr:row>
      <xdr:rowOff>63500</xdr:rowOff>
    </xdr:from>
    <xdr:to>
      <xdr:col>3</xdr:col>
      <xdr:colOff>478366</xdr:colOff>
      <xdr:row>1</xdr:row>
      <xdr:rowOff>42961</xdr:rowOff>
    </xdr:to>
    <xdr:sp macro="" textlink="">
      <xdr:nvSpPr>
        <xdr:cNvPr id="3" name="TextBox 2">
          <a:extLst>
            <a:ext uri="{FF2B5EF4-FFF2-40B4-BE49-F238E27FC236}">
              <a16:creationId xmlns:a16="http://schemas.microsoft.com/office/drawing/2014/main" id="{C99F1703-751D-E449-BB0D-683D4E5A422E}"/>
            </a:ext>
          </a:extLst>
        </xdr:cNvPr>
        <xdr:cNvSpPr txBox="1"/>
      </xdr:nvSpPr>
      <xdr:spPr>
        <a:xfrm>
          <a:off x="841375" y="63500"/>
          <a:ext cx="4653491" cy="63033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3200" b="1">
              <a:solidFill>
                <a:schemeClr val="accent2"/>
              </a:solidFill>
            </a:rPr>
            <a:t>Hill</a:t>
          </a:r>
          <a:r>
            <a:rPr lang="en-US" sz="3200" b="1" baseline="0">
              <a:solidFill>
                <a:schemeClr val="accent2"/>
              </a:solidFill>
            </a:rPr>
            <a:t> Shire Council</a:t>
          </a:r>
          <a:endParaRPr lang="en-US" sz="3200" b="1">
            <a:solidFill>
              <a:schemeClr val="accent2"/>
            </a:solidFill>
          </a:endParaRP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8</xdr:col>
      <xdr:colOff>553357</xdr:colOff>
      <xdr:row>5</xdr:row>
      <xdr:rowOff>93437</xdr:rowOff>
    </xdr:from>
    <xdr:to>
      <xdr:col>22</xdr:col>
      <xdr:colOff>101600</xdr:colOff>
      <xdr:row>31</xdr:row>
      <xdr:rowOff>45357</xdr:rowOff>
    </xdr:to>
    <xdr:graphicFrame macro="">
      <xdr:nvGraphicFramePr>
        <xdr:cNvPr id="2" name="Chart 1">
          <a:extLst>
            <a:ext uri="{FF2B5EF4-FFF2-40B4-BE49-F238E27FC236}">
              <a16:creationId xmlns:a16="http://schemas.microsoft.com/office/drawing/2014/main" id="{09C117D4-5237-D0F2-3343-34F4ECFD6B2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18</xdr:col>
      <xdr:colOff>299357</xdr:colOff>
      <xdr:row>1</xdr:row>
      <xdr:rowOff>103414</xdr:rowOff>
    </xdr:from>
    <xdr:to>
      <xdr:col>20</xdr:col>
      <xdr:colOff>600757</xdr:colOff>
      <xdr:row>3</xdr:row>
      <xdr:rowOff>154414</xdr:rowOff>
    </xdr:to>
    <xdr:sp macro="" textlink="">
      <xdr:nvSpPr>
        <xdr:cNvPr id="7" name="Left Arrow 6">
          <a:hlinkClick xmlns:r="http://schemas.openxmlformats.org/officeDocument/2006/relationships" r:id="rId2"/>
          <a:extLst>
            <a:ext uri="{FF2B5EF4-FFF2-40B4-BE49-F238E27FC236}">
              <a16:creationId xmlns:a16="http://schemas.microsoft.com/office/drawing/2014/main" id="{55C551E0-5D6D-8648-9AE4-37907CA7C21B}"/>
            </a:ext>
          </a:extLst>
        </xdr:cNvPr>
        <xdr:cNvSpPr/>
      </xdr:nvSpPr>
      <xdr:spPr>
        <a:xfrm>
          <a:off x="18612757" y="598714"/>
          <a:ext cx="1800000" cy="432000"/>
        </a:xfrm>
        <a:prstGeom prst="roundRect">
          <a:avLst>
            <a:gd name="adj" fmla="val 50000"/>
          </a:avLst>
        </a:prstGeom>
        <a:solidFill>
          <a:srgbClr val="00206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800" b="1"/>
            <a:t>Back to Map</a:t>
          </a:r>
        </a:p>
      </xdr:txBody>
    </xdr:sp>
    <xdr:clientData/>
  </xdr:twoCellAnchor>
  <xdr:twoCellAnchor>
    <xdr:from>
      <xdr:col>1</xdr:col>
      <xdr:colOff>13956</xdr:colOff>
      <xdr:row>31</xdr:row>
      <xdr:rowOff>154214</xdr:rowOff>
    </xdr:from>
    <xdr:to>
      <xdr:col>22</xdr:col>
      <xdr:colOff>71483</xdr:colOff>
      <xdr:row>46</xdr:row>
      <xdr:rowOff>13956</xdr:rowOff>
    </xdr:to>
    <xdr:sp macro="" textlink="">
      <xdr:nvSpPr>
        <xdr:cNvPr id="8" name="TextBox 7">
          <a:extLst>
            <a:ext uri="{FF2B5EF4-FFF2-40B4-BE49-F238E27FC236}">
              <a16:creationId xmlns:a16="http://schemas.microsoft.com/office/drawing/2014/main" id="{BEFB3A21-4D67-014A-B889-9850EE1479C5}"/>
            </a:ext>
          </a:extLst>
        </xdr:cNvPr>
        <xdr:cNvSpPr txBox="1"/>
      </xdr:nvSpPr>
      <xdr:spPr>
        <a:xfrm>
          <a:off x="851319" y="8639489"/>
          <a:ext cx="19889065" cy="279051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u="sng">
              <a:solidFill>
                <a:schemeClr val="accent5"/>
              </a:solidFill>
            </a:rPr>
            <a:t>Findings-</a:t>
          </a:r>
          <a:r>
            <a:rPr lang="en-US" sz="2400" b="1" u="sng" baseline="0">
              <a:solidFill>
                <a:schemeClr val="accent5"/>
              </a:solidFill>
            </a:rPr>
            <a:t> </a:t>
          </a:r>
        </a:p>
        <a:p>
          <a:endParaRPr lang="en-US" sz="1600" b="1"/>
        </a:p>
        <a:p>
          <a:r>
            <a:rPr lang="en-US" sz="1600" b="1"/>
            <a:t>1. Outstanding revenue growth driven by a major uplift in capital grants</a:t>
          </a:r>
        </a:p>
        <a:p>
          <a:r>
            <a:rPr lang="en-US" sz="1600" b="0"/>
            <a:t>Hornsby’s total revenue surged from $142.7M (FY24) to $225.1M (FY25 Actual) — a 58% YoY increase, the highest among all councils shown so far.</a:t>
          </a:r>
          <a:r>
            <a:rPr lang="en-US" sz="1600" b="0" baseline="0"/>
            <a:t> </a:t>
          </a:r>
          <a:r>
            <a:rPr lang="en-US" sz="1600" b="0"/>
            <a:t>This was almost entirely driven by a sharp rebound in capital grants, which moved from a negative prior-year adjustment to $41.9M in FY25.</a:t>
          </a:r>
        </a:p>
        <a:p>
          <a:r>
            <a:rPr lang="en-US" sz="1600" b="1"/>
            <a:t>2. Significant turnaround in operating performance</a:t>
          </a:r>
        </a:p>
        <a:p>
          <a:r>
            <a:rPr lang="en-US" sz="1600" b="0"/>
            <a:t>Operating result improved from –$28.0M (FY24) to a positive $62.5M (FY25).</a:t>
          </a:r>
          <a:r>
            <a:rPr lang="en-US" sz="1600" b="0" baseline="0"/>
            <a:t> </a:t>
          </a:r>
          <a:r>
            <a:rPr lang="en-US" sz="1600" b="0"/>
            <a:t>Even the underlying operating result before capital grants improved to $20.6M, signalling a strong recovery in core operations after a very weak FY24.</a:t>
          </a:r>
        </a:p>
        <a:p>
          <a:r>
            <a:rPr lang="en-US" sz="1600" b="1"/>
            <a:t>3. Expenses remain contained despite revenue jump</a:t>
          </a:r>
        </a:p>
        <a:p>
          <a:r>
            <a:rPr lang="en-US" sz="1600" b="0"/>
            <a:t>Total expenses decreased 6% YoY, from $145.6M → $136.6M, showing strong cost discipline</a:t>
          </a:r>
          <a:r>
            <a:rPr lang="en-US" sz="1600" b="0" baseline="0"/>
            <a:t>. </a:t>
          </a:r>
          <a:r>
            <a:rPr lang="en-US" sz="1600" b="0"/>
            <a:t>This tight control amplified the revenue-driven surplus and indicates operational efficiency.</a:t>
          </a:r>
        </a:p>
        <a:p>
          <a:endParaRPr lang="en-US" sz="1600" b="0"/>
        </a:p>
      </xdr:txBody>
    </xdr:sp>
    <xdr:clientData/>
  </xdr:twoCellAnchor>
  <xdr:twoCellAnchor>
    <xdr:from>
      <xdr:col>1</xdr:col>
      <xdr:colOff>69780</xdr:colOff>
      <xdr:row>0</xdr:row>
      <xdr:rowOff>69780</xdr:rowOff>
    </xdr:from>
    <xdr:to>
      <xdr:col>3</xdr:col>
      <xdr:colOff>795494</xdr:colOff>
      <xdr:row>2</xdr:row>
      <xdr:rowOff>13956</xdr:rowOff>
    </xdr:to>
    <xdr:sp macro="" textlink="">
      <xdr:nvSpPr>
        <xdr:cNvPr id="3" name="TextBox 2">
          <a:extLst>
            <a:ext uri="{FF2B5EF4-FFF2-40B4-BE49-F238E27FC236}">
              <a16:creationId xmlns:a16="http://schemas.microsoft.com/office/drawing/2014/main" id="{60DE2EE3-0C0F-D5B7-3BEA-9A56782EFCB2}"/>
            </a:ext>
          </a:extLst>
        </xdr:cNvPr>
        <xdr:cNvSpPr txBox="1"/>
      </xdr:nvSpPr>
      <xdr:spPr>
        <a:xfrm>
          <a:off x="907143" y="69780"/>
          <a:ext cx="4898571" cy="62802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3200" b="1">
              <a:solidFill>
                <a:schemeClr val="accent5"/>
              </a:solidFill>
            </a:rPr>
            <a:t>Hornsby Council </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8</xdr:col>
      <xdr:colOff>565150</xdr:colOff>
      <xdr:row>5</xdr:row>
      <xdr:rowOff>88900</xdr:rowOff>
    </xdr:from>
    <xdr:to>
      <xdr:col>21</xdr:col>
      <xdr:colOff>571500</xdr:colOff>
      <xdr:row>31</xdr:row>
      <xdr:rowOff>0</xdr:rowOff>
    </xdr:to>
    <xdr:graphicFrame macro="">
      <xdr:nvGraphicFramePr>
        <xdr:cNvPr id="2" name="Chart 1">
          <a:extLst>
            <a:ext uri="{FF2B5EF4-FFF2-40B4-BE49-F238E27FC236}">
              <a16:creationId xmlns:a16="http://schemas.microsoft.com/office/drawing/2014/main" id="{59D3F1E4-C770-C428-79E6-32A1BD6EF69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18</xdr:col>
      <xdr:colOff>388258</xdr:colOff>
      <xdr:row>2</xdr:row>
      <xdr:rowOff>59872</xdr:rowOff>
    </xdr:from>
    <xdr:to>
      <xdr:col>20</xdr:col>
      <xdr:colOff>689658</xdr:colOff>
      <xdr:row>4</xdr:row>
      <xdr:rowOff>85472</xdr:rowOff>
    </xdr:to>
    <xdr:sp macro="" textlink="">
      <xdr:nvSpPr>
        <xdr:cNvPr id="5" name="Left Arrow 4">
          <a:hlinkClick xmlns:r="http://schemas.openxmlformats.org/officeDocument/2006/relationships" r:id="rId2"/>
          <a:extLst>
            <a:ext uri="{FF2B5EF4-FFF2-40B4-BE49-F238E27FC236}">
              <a16:creationId xmlns:a16="http://schemas.microsoft.com/office/drawing/2014/main" id="{FA2E88E9-A06D-024B-A013-3BB90151A48E}"/>
            </a:ext>
          </a:extLst>
        </xdr:cNvPr>
        <xdr:cNvSpPr/>
      </xdr:nvSpPr>
      <xdr:spPr>
        <a:xfrm>
          <a:off x="18701658" y="821872"/>
          <a:ext cx="1800000" cy="432000"/>
        </a:xfrm>
        <a:prstGeom prst="roundRect">
          <a:avLst>
            <a:gd name="adj" fmla="val 50000"/>
          </a:avLst>
        </a:prstGeom>
        <a:solidFill>
          <a:srgbClr val="00206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800" b="1"/>
            <a:t>Back to Map</a:t>
          </a:r>
        </a:p>
      </xdr:txBody>
    </xdr:sp>
    <xdr:clientData/>
  </xdr:twoCellAnchor>
  <xdr:twoCellAnchor>
    <xdr:from>
      <xdr:col>0</xdr:col>
      <xdr:colOff>830037</xdr:colOff>
      <xdr:row>31</xdr:row>
      <xdr:rowOff>165555</xdr:rowOff>
    </xdr:from>
    <xdr:to>
      <xdr:col>21</xdr:col>
      <xdr:colOff>555625</xdr:colOff>
      <xdr:row>45</xdr:row>
      <xdr:rowOff>31751</xdr:rowOff>
    </xdr:to>
    <xdr:sp macro="" textlink="">
      <xdr:nvSpPr>
        <xdr:cNvPr id="6" name="TextBox 5">
          <a:extLst>
            <a:ext uri="{FF2B5EF4-FFF2-40B4-BE49-F238E27FC236}">
              <a16:creationId xmlns:a16="http://schemas.microsoft.com/office/drawing/2014/main" id="{9B1532AC-14B9-BF47-B8D3-3794DABBC1FA}"/>
            </a:ext>
          </a:extLst>
        </xdr:cNvPr>
        <xdr:cNvSpPr txBox="1"/>
      </xdr:nvSpPr>
      <xdr:spPr>
        <a:xfrm>
          <a:off x="830037" y="8484055"/>
          <a:ext cx="20775838" cy="253319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u="sng">
              <a:solidFill>
                <a:srgbClr val="FF0000"/>
              </a:solidFill>
            </a:rPr>
            <a:t>Findings-</a:t>
          </a:r>
          <a:r>
            <a:rPr lang="en-US" sz="2400" b="1" u="sng" baseline="0">
              <a:solidFill>
                <a:srgbClr val="FF0000"/>
              </a:solidFill>
            </a:rPr>
            <a:t> </a:t>
          </a:r>
        </a:p>
        <a:p>
          <a:endParaRPr lang="en-US" sz="2400" b="0" baseline="0"/>
        </a:p>
        <a:p>
          <a:r>
            <a:rPr lang="en-US" sz="1600" b="1"/>
            <a:t>1. Revenue growth remained modest and below expectations</a:t>
          </a:r>
        </a:p>
        <a:p>
          <a:r>
            <a:rPr lang="en-US" sz="1600" b="0"/>
            <a:t>North Sydney’s revenue increased only 2% YoY, from $151.7M → $154.6M, while falling short of the YoY growth seen in most other councils.</a:t>
          </a:r>
          <a:r>
            <a:rPr lang="en-US" sz="1600" b="0" baseline="0"/>
            <a:t> </a:t>
          </a:r>
          <a:r>
            <a:rPr lang="en-US" sz="1600" b="0"/>
            <a:t>User charges also declined YoY by –4%, pointing to weaker service-based income.</a:t>
          </a:r>
        </a:p>
        <a:p>
          <a:r>
            <a:rPr lang="en-US" sz="1600" b="1"/>
            <a:t>2. Operating result improved but remains structurally weak</a:t>
          </a:r>
        </a:p>
        <a:p>
          <a:r>
            <a:rPr lang="en-US" sz="1600" b="0"/>
            <a:t>Operating result rose to $15.2M, up 16% YoY — but underlying sustainability is softer:</a:t>
          </a:r>
          <a:r>
            <a:rPr lang="en-US" sz="1600" b="0" baseline="0"/>
            <a:t> </a:t>
          </a:r>
          <a:r>
            <a:rPr lang="en-US" sz="1600" b="0"/>
            <a:t>Net operating result before capital grants is just $1.3M, meaning operations barely break even without capital funding.</a:t>
          </a:r>
        </a:p>
        <a:p>
          <a:r>
            <a:rPr lang="en-US" sz="1600" b="1"/>
            <a:t>3. Strong interest income contributed significantly</a:t>
          </a:r>
        </a:p>
        <a:p>
          <a:r>
            <a:rPr lang="en-US" sz="1600" b="0"/>
            <a:t>Interest and investment income nearly doubled against budget ($2.7M above budget and 8% YoY increase) due to higher interest rates.</a:t>
          </a:r>
          <a:r>
            <a:rPr lang="en-US" sz="1600" b="0" baseline="0"/>
            <a:t> </a:t>
          </a:r>
          <a:r>
            <a:rPr lang="en-US" sz="1600" b="0"/>
            <a:t>This masks weaker underlying fee revenue performance and should be monitored for volatility.</a:t>
          </a:r>
        </a:p>
        <a:p>
          <a:endParaRPr lang="en-US" sz="1600" b="0"/>
        </a:p>
      </xdr:txBody>
    </xdr:sp>
    <xdr:clientData/>
  </xdr:twoCellAnchor>
  <xdr:twoCellAnchor>
    <xdr:from>
      <xdr:col>1</xdr:col>
      <xdr:colOff>9073</xdr:colOff>
      <xdr:row>0</xdr:row>
      <xdr:rowOff>81643</xdr:rowOff>
    </xdr:from>
    <xdr:to>
      <xdr:col>1</xdr:col>
      <xdr:colOff>4009573</xdr:colOff>
      <xdr:row>1</xdr:row>
      <xdr:rowOff>72572</xdr:rowOff>
    </xdr:to>
    <xdr:sp macro="" textlink="">
      <xdr:nvSpPr>
        <xdr:cNvPr id="7" name="TextBox 6">
          <a:extLst>
            <a:ext uri="{FF2B5EF4-FFF2-40B4-BE49-F238E27FC236}">
              <a16:creationId xmlns:a16="http://schemas.microsoft.com/office/drawing/2014/main" id="{C16A6E39-01B2-8074-61DD-C251AD20E372}"/>
            </a:ext>
          </a:extLst>
        </xdr:cNvPr>
        <xdr:cNvSpPr txBox="1"/>
      </xdr:nvSpPr>
      <xdr:spPr>
        <a:xfrm>
          <a:off x="843644" y="81643"/>
          <a:ext cx="4000500" cy="5715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3200" b="1" u="none">
              <a:solidFill>
                <a:srgbClr val="FF0000"/>
              </a:solidFill>
            </a:rPr>
            <a:t>North Sydney Council</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8</xdr:col>
      <xdr:colOff>514351</xdr:colOff>
      <xdr:row>5</xdr:row>
      <xdr:rowOff>76200</xdr:rowOff>
    </xdr:from>
    <xdr:to>
      <xdr:col>22</xdr:col>
      <xdr:colOff>211668</xdr:colOff>
      <xdr:row>26</xdr:row>
      <xdr:rowOff>139700</xdr:rowOff>
    </xdr:to>
    <xdr:graphicFrame macro="">
      <xdr:nvGraphicFramePr>
        <xdr:cNvPr id="2" name="Chart 1">
          <a:extLst>
            <a:ext uri="{FF2B5EF4-FFF2-40B4-BE49-F238E27FC236}">
              <a16:creationId xmlns:a16="http://schemas.microsoft.com/office/drawing/2014/main" id="{4FBDD83D-04C7-DA19-66B4-1EB0F825C5A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21</xdr:col>
      <xdr:colOff>63500</xdr:colOff>
      <xdr:row>1</xdr:row>
      <xdr:rowOff>114300</xdr:rowOff>
    </xdr:from>
    <xdr:to>
      <xdr:col>23</xdr:col>
      <xdr:colOff>364900</xdr:colOff>
      <xdr:row>3</xdr:row>
      <xdr:rowOff>165300</xdr:rowOff>
    </xdr:to>
    <xdr:sp macro="" textlink="">
      <xdr:nvSpPr>
        <xdr:cNvPr id="5" name="Left Arrow 4">
          <a:hlinkClick xmlns:r="http://schemas.openxmlformats.org/officeDocument/2006/relationships" r:id="rId2"/>
          <a:extLst>
            <a:ext uri="{FF2B5EF4-FFF2-40B4-BE49-F238E27FC236}">
              <a16:creationId xmlns:a16="http://schemas.microsoft.com/office/drawing/2014/main" id="{8F549BD2-E380-B248-AAC2-2514E254F032}"/>
            </a:ext>
          </a:extLst>
        </xdr:cNvPr>
        <xdr:cNvSpPr/>
      </xdr:nvSpPr>
      <xdr:spPr>
        <a:xfrm>
          <a:off x="20624800" y="698500"/>
          <a:ext cx="1800000" cy="432000"/>
        </a:xfrm>
        <a:prstGeom prst="roundRect">
          <a:avLst>
            <a:gd name="adj" fmla="val 50000"/>
          </a:avLst>
        </a:prstGeom>
        <a:solidFill>
          <a:srgbClr val="00206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800" b="1"/>
            <a:t>Back to Map</a:t>
          </a:r>
        </a:p>
      </xdr:txBody>
    </xdr:sp>
    <xdr:clientData/>
  </xdr:twoCellAnchor>
  <xdr:twoCellAnchor>
    <xdr:from>
      <xdr:col>1</xdr:col>
      <xdr:colOff>25400</xdr:colOff>
      <xdr:row>32</xdr:row>
      <xdr:rowOff>63500</xdr:rowOff>
    </xdr:from>
    <xdr:to>
      <xdr:col>23</xdr:col>
      <xdr:colOff>647700</xdr:colOff>
      <xdr:row>46</xdr:row>
      <xdr:rowOff>50800</xdr:rowOff>
    </xdr:to>
    <xdr:sp macro="" textlink="">
      <xdr:nvSpPr>
        <xdr:cNvPr id="6" name="TextBox 5">
          <a:extLst>
            <a:ext uri="{FF2B5EF4-FFF2-40B4-BE49-F238E27FC236}">
              <a16:creationId xmlns:a16="http://schemas.microsoft.com/office/drawing/2014/main" id="{CB85DDE1-827F-C44D-8B5C-967ACBB918EF}"/>
            </a:ext>
          </a:extLst>
        </xdr:cNvPr>
        <xdr:cNvSpPr txBox="1"/>
      </xdr:nvSpPr>
      <xdr:spPr>
        <a:xfrm>
          <a:off x="863600" y="8280400"/>
          <a:ext cx="24358600" cy="26543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u="sng"/>
            <a:t>Findings-</a:t>
          </a:r>
          <a:r>
            <a:rPr lang="en-US" sz="2400" b="0" baseline="0"/>
            <a:t> </a:t>
          </a:r>
        </a:p>
        <a:p>
          <a:endParaRPr lang="en-US" sz="2400" b="0" baseline="0"/>
        </a:p>
        <a:p>
          <a:r>
            <a:rPr lang="en-US" sz="1600" b="1"/>
            <a:t>1. Revenue stable but driven increasingly by investment and capital income</a:t>
          </a:r>
        </a:p>
        <a:p>
          <a:r>
            <a:rPr lang="en-US" sz="1600"/>
            <a:t>Revenue remained stable overall, with modest growth of 2%. Capital grants decreased YoY, while interest income and user charges increased slightly. Fair-value adjustments were volatile, shifting from a negative adjustment in FY24 to a small positive amount in FY25.</a:t>
          </a:r>
        </a:p>
        <a:p>
          <a:r>
            <a:rPr lang="en-US" sz="1600" b="1"/>
            <a:t>2. Operating result fell sharply YoY due to expense increases</a:t>
          </a:r>
        </a:p>
        <a:p>
          <a:r>
            <a:rPr lang="en-US" sz="1600"/>
            <a:t>The operating result declined by 28% as rising expenses (+6% YoY) combined with lower operating and capital grants reduced overall profitability.</a:t>
          </a:r>
        </a:p>
        <a:p>
          <a:r>
            <a:rPr lang="en-US" sz="1600" b="1"/>
            <a:t>3. Underlying operations remain barely positive</a:t>
          </a:r>
        </a:p>
        <a:p>
          <a:r>
            <a:rPr lang="en-US" sz="1600" b="0"/>
            <a:t>Net operating result before capital grants improved slightly to $1.35M, but still represents only 1% of total revenue, indicating thin margins and a reliance on capital grants to maintain overall financial strength.</a:t>
          </a:r>
        </a:p>
        <a:p>
          <a:endParaRPr lang="en-US" sz="1600" b="0"/>
        </a:p>
      </xdr:txBody>
    </xdr:sp>
    <xdr:clientData/>
  </xdr:twoCellAnchor>
  <xdr:twoCellAnchor>
    <xdr:from>
      <xdr:col>1</xdr:col>
      <xdr:colOff>114300</xdr:colOff>
      <xdr:row>0</xdr:row>
      <xdr:rowOff>76200</xdr:rowOff>
    </xdr:from>
    <xdr:to>
      <xdr:col>3</xdr:col>
      <xdr:colOff>508000</xdr:colOff>
      <xdr:row>1</xdr:row>
      <xdr:rowOff>38100</xdr:rowOff>
    </xdr:to>
    <xdr:sp macro="" textlink="">
      <xdr:nvSpPr>
        <xdr:cNvPr id="7" name="TextBox 6">
          <a:extLst>
            <a:ext uri="{FF2B5EF4-FFF2-40B4-BE49-F238E27FC236}">
              <a16:creationId xmlns:a16="http://schemas.microsoft.com/office/drawing/2014/main" id="{EEE84E8D-B7D4-6A47-826B-6157A62A8219}"/>
            </a:ext>
          </a:extLst>
        </xdr:cNvPr>
        <xdr:cNvSpPr txBox="1"/>
      </xdr:nvSpPr>
      <xdr:spPr>
        <a:xfrm>
          <a:off x="952500" y="76200"/>
          <a:ext cx="4572000" cy="5461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solidFill>
                <a:sysClr val="windowText" lastClr="000000"/>
              </a:solidFill>
            </a:rPr>
            <a:t>Woollahra Council </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3</xdr:col>
      <xdr:colOff>1511688</xdr:colOff>
      <xdr:row>0</xdr:row>
      <xdr:rowOff>43532</xdr:rowOff>
    </xdr:from>
    <xdr:to>
      <xdr:col>7</xdr:col>
      <xdr:colOff>1562859</xdr:colOff>
      <xdr:row>34</xdr:row>
      <xdr:rowOff>15589</xdr:rowOff>
    </xdr:to>
    <xdr:graphicFrame macro="">
      <xdr:nvGraphicFramePr>
        <xdr:cNvPr id="2" name="Chart 1">
          <a:extLst>
            <a:ext uri="{FF2B5EF4-FFF2-40B4-BE49-F238E27FC236}">
              <a16:creationId xmlns:a16="http://schemas.microsoft.com/office/drawing/2014/main" id="{73F9D9BD-DBEC-513F-0D10-6CD6A5E73D8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91530</xdr:colOff>
      <xdr:row>35</xdr:row>
      <xdr:rowOff>183239</xdr:rowOff>
    </xdr:from>
    <xdr:to>
      <xdr:col>7</xdr:col>
      <xdr:colOff>1593271</xdr:colOff>
      <xdr:row>68</xdr:row>
      <xdr:rowOff>137297</xdr:rowOff>
    </xdr:to>
    <xdr:sp macro="" textlink="">
      <xdr:nvSpPr>
        <xdr:cNvPr id="4" name="TextBox 3">
          <a:extLst>
            <a:ext uri="{FF2B5EF4-FFF2-40B4-BE49-F238E27FC236}">
              <a16:creationId xmlns:a16="http://schemas.microsoft.com/office/drawing/2014/main" id="{55303A3C-4C85-E0AA-7894-9BCFA411603B}"/>
            </a:ext>
          </a:extLst>
        </xdr:cNvPr>
        <xdr:cNvSpPr txBox="1"/>
      </xdr:nvSpPr>
      <xdr:spPr>
        <a:xfrm>
          <a:off x="91530" y="7052784"/>
          <a:ext cx="18993105" cy="643105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aseline="0"/>
            <a:t>Top 5 Findings - </a:t>
          </a:r>
        </a:p>
        <a:p>
          <a:endParaRPr lang="en-US" sz="1800" baseline="0"/>
        </a:p>
        <a:p>
          <a:r>
            <a:rPr lang="en-US" sz="1800" b="1"/>
            <a:t>1. The Hills Shire Council stands out as the strongest performer.</a:t>
          </a:r>
          <a:br>
            <a:rPr lang="en-US" sz="1800"/>
          </a:br>
          <a:r>
            <a:rPr lang="en-US" sz="1800"/>
            <a:t>Hills delivered the highest operating result and the strongest profit margins, supported by significant capital grants and steady revenue growth. Even when excluding grants, the council remained comfortably in surplus, showing strong operational efficiency.</a:t>
          </a:r>
        </a:p>
        <a:p>
          <a:r>
            <a:rPr lang="en-US" sz="1800" b="1"/>
            <a:t>2. The City of Sydney continues to demonstrate stable, resilient financial health.</a:t>
          </a:r>
          <a:br>
            <a:rPr lang="en-US" sz="1800"/>
          </a:br>
          <a:r>
            <a:rPr lang="en-US" sz="1800"/>
            <a:t>Sydney operates with the largest revenue base and maintains consistent surpluses. Importantly, it shows very low reliance on capital grants, with solid underlying results driven by strong user charges and investment income.</a:t>
          </a:r>
        </a:p>
        <a:p>
          <a:r>
            <a:rPr lang="en-US" sz="1800" b="1"/>
            <a:t>3. Hornsby Shire Council shows the most dramatic improvement year-on-year.</a:t>
          </a:r>
          <a:br>
            <a:rPr lang="en-US" sz="1800"/>
          </a:br>
          <a:r>
            <a:rPr lang="en-US" sz="1800"/>
            <a:t>After recording a loss in FY2024, Hornsby returned to a healthy surplus in FY2025. This turnaround was driven mainly by the reinstatement of capital grants and tight cost control. While much of the improvement is grant-related, it still reflects a significant recovery.</a:t>
          </a:r>
        </a:p>
        <a:p>
          <a:r>
            <a:rPr lang="en-US" sz="1800" b="1"/>
            <a:t>4. North Sydney Council remains comparatively fragile.</a:t>
          </a:r>
          <a:br>
            <a:rPr lang="en-US" sz="1800"/>
          </a:br>
          <a:r>
            <a:rPr lang="en-US" sz="1800"/>
            <a:t>Although North Sydney recorded a positive operating result, its underlying profit before grants is very thin. This suggests the council is only just breaking even operationally and is somewhat exposed to fluctuations in non-operating revenue such as interest income.</a:t>
          </a:r>
        </a:p>
        <a:p>
          <a:r>
            <a:rPr lang="en-US" sz="1800" b="1"/>
            <a:t>5. Parramatta and Woollahra show signs of underlying sustainability pressure.</a:t>
          </a:r>
          <a:br>
            <a:rPr lang="en-US" sz="1800"/>
          </a:br>
          <a:r>
            <a:rPr lang="en-US" sz="1800"/>
            <a:t>Both councils recorded low or negative profit margins once capital grants are removed. Parramatta, in particular, continues to face cost pressures that outweigh its revenue growth, while Woollahra’s operating result has declined year-on-year, leaving only a small underlying surplus.</a:t>
          </a:r>
        </a:p>
        <a:p>
          <a:endParaRPr lang="en-US" sz="1800" baseline="0"/>
        </a:p>
        <a:p>
          <a:endParaRPr lang="en-US" sz="1800" baseline="0"/>
        </a:p>
        <a:p>
          <a:endParaRPr lang="en-US" sz="1800" baseline="0"/>
        </a:p>
      </xdr:txBody>
    </xdr:sp>
    <xdr:clientData/>
  </xdr:twoCellAnchor>
  <xdr:twoCellAnchor>
    <xdr:from>
      <xdr:col>0</xdr:col>
      <xdr:colOff>32658</xdr:colOff>
      <xdr:row>0</xdr:row>
      <xdr:rowOff>43533</xdr:rowOff>
    </xdr:from>
    <xdr:to>
      <xdr:col>3</xdr:col>
      <xdr:colOff>1509858</xdr:colOff>
      <xdr:row>34</xdr:row>
      <xdr:rowOff>15590</xdr:rowOff>
    </xdr:to>
    <xdr:graphicFrame macro="">
      <xdr:nvGraphicFramePr>
        <xdr:cNvPr id="5" name="Chart 4">
          <a:extLst>
            <a:ext uri="{FF2B5EF4-FFF2-40B4-BE49-F238E27FC236}">
              <a16:creationId xmlns:a16="http://schemas.microsoft.com/office/drawing/2014/main" id="{4977B89B-D78F-D747-A74C-743662D468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B1AE59-65D7-49BB-882C-8ECB8DB54A7C}">
  <dimension ref="B11:U60"/>
  <sheetViews>
    <sheetView showGridLines="0" zoomScale="86" zoomScaleNormal="50" workbookViewId="0"/>
  </sheetViews>
  <sheetFormatPr baseColWidth="10" defaultColWidth="8.83203125" defaultRowHeight="15" x14ac:dyDescent="0.2"/>
  <cols>
    <col min="18" max="18" width="39.6640625" customWidth="1"/>
    <col min="25" max="25" width="16.83203125" customWidth="1"/>
  </cols>
  <sheetData>
    <row r="11" spans="18:21" ht="24" customHeight="1" x14ac:dyDescent="0.2">
      <c r="R11" s="111" t="s">
        <v>63</v>
      </c>
      <c r="S11" s="111"/>
      <c r="T11" s="111"/>
      <c r="U11" s="111"/>
    </row>
    <row r="12" spans="18:21" x14ac:dyDescent="0.2">
      <c r="R12" s="111"/>
      <c r="S12" s="111"/>
      <c r="T12" s="111"/>
      <c r="U12" s="111"/>
    </row>
    <row r="13" spans="18:21" x14ac:dyDescent="0.2">
      <c r="R13" s="111"/>
      <c r="S13" s="111"/>
      <c r="T13" s="111"/>
      <c r="U13" s="111"/>
    </row>
    <row r="14" spans="18:21" x14ac:dyDescent="0.2">
      <c r="R14" s="111"/>
      <c r="S14" s="111"/>
      <c r="T14" s="111"/>
      <c r="U14" s="111"/>
    </row>
    <row r="15" spans="18:21" x14ac:dyDescent="0.2">
      <c r="R15" s="111"/>
      <c r="S15" s="111"/>
      <c r="T15" s="111"/>
      <c r="U15" s="111"/>
    </row>
    <row r="16" spans="18:21" x14ac:dyDescent="0.2">
      <c r="R16" s="111"/>
      <c r="S16" s="111"/>
      <c r="T16" s="111"/>
      <c r="U16" s="111"/>
    </row>
    <row r="17" spans="18:21" x14ac:dyDescent="0.2">
      <c r="R17" s="111"/>
      <c r="S17" s="111"/>
      <c r="T17" s="111"/>
      <c r="U17" s="111"/>
    </row>
    <row r="18" spans="18:21" x14ac:dyDescent="0.2">
      <c r="R18" s="111"/>
      <c r="S18" s="111"/>
      <c r="T18" s="111"/>
      <c r="U18" s="111"/>
    </row>
    <row r="19" spans="18:21" x14ac:dyDescent="0.2">
      <c r="R19" s="111"/>
      <c r="S19" s="111"/>
      <c r="T19" s="111"/>
      <c r="U19" s="111"/>
    </row>
    <row r="20" spans="18:21" x14ac:dyDescent="0.2">
      <c r="R20" s="111"/>
      <c r="S20" s="111"/>
      <c r="T20" s="111"/>
      <c r="U20" s="111"/>
    </row>
    <row r="21" spans="18:21" x14ac:dyDescent="0.2">
      <c r="R21" s="111"/>
      <c r="S21" s="111"/>
      <c r="T21" s="111"/>
      <c r="U21" s="111"/>
    </row>
    <row r="22" spans="18:21" x14ac:dyDescent="0.2">
      <c r="R22" s="111"/>
      <c r="S22" s="111"/>
      <c r="T22" s="111"/>
      <c r="U22" s="111"/>
    </row>
    <row r="23" spans="18:21" x14ac:dyDescent="0.2">
      <c r="R23" s="111"/>
      <c r="S23" s="111"/>
      <c r="T23" s="111"/>
      <c r="U23" s="111"/>
    </row>
    <row r="24" spans="18:21" x14ac:dyDescent="0.2">
      <c r="R24" s="111"/>
      <c r="S24" s="111"/>
      <c r="T24" s="111"/>
      <c r="U24" s="111"/>
    </row>
    <row r="25" spans="18:21" x14ac:dyDescent="0.2">
      <c r="R25" s="111"/>
      <c r="S25" s="111"/>
      <c r="T25" s="111"/>
      <c r="U25" s="111"/>
    </row>
    <row r="26" spans="18:21" x14ac:dyDescent="0.2">
      <c r="R26" s="111"/>
      <c r="S26" s="111"/>
      <c r="T26" s="111"/>
      <c r="U26" s="111"/>
    </row>
    <row r="27" spans="18:21" x14ac:dyDescent="0.2">
      <c r="R27" s="111"/>
      <c r="S27" s="111"/>
      <c r="T27" s="111"/>
      <c r="U27" s="111"/>
    </row>
    <row r="28" spans="18:21" x14ac:dyDescent="0.2">
      <c r="R28" s="111"/>
      <c r="S28" s="111"/>
      <c r="T28" s="111"/>
      <c r="U28" s="111"/>
    </row>
    <row r="60" spans="2:2" ht="24" x14ac:dyDescent="0.3">
      <c r="B60" s="59"/>
    </row>
  </sheetData>
  <mergeCells count="1">
    <mergeCell ref="R11:U28"/>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D4C7A0-D9EA-4B26-9DFD-1D2267442C2D}">
  <dimension ref="B2:AK45"/>
  <sheetViews>
    <sheetView showGridLines="0" zoomScale="125" zoomScaleNormal="80" workbookViewId="0">
      <pane xSplit="2" ySplit="3" topLeftCell="C4" activePane="bottomRight" state="frozen"/>
      <selection pane="topRight" activeCell="B1" sqref="B1"/>
      <selection pane="bottomLeft" activeCell="A3" sqref="A3"/>
      <selection pane="bottomRight"/>
    </sheetView>
  </sheetViews>
  <sheetFormatPr baseColWidth="10" defaultColWidth="8.83203125" defaultRowHeight="15" x14ac:dyDescent="0.2"/>
  <cols>
    <col min="2" max="2" width="64.5" bestFit="1" customWidth="1"/>
    <col min="3" max="3" width="31.83203125" customWidth="1"/>
    <col min="4" max="4" width="2.83203125" customWidth="1"/>
    <col min="5" max="5" width="13.6640625" style="1" bestFit="1" customWidth="1"/>
    <col min="6" max="7" width="13.1640625" style="1" bestFit="1" customWidth="1"/>
    <col min="8" max="8" width="2.83203125" customWidth="1"/>
    <col min="9" max="9" width="13.6640625" style="1" bestFit="1" customWidth="1"/>
    <col min="10" max="10" width="13.1640625" style="1" bestFit="1" customWidth="1"/>
    <col min="11" max="11" width="2.83203125" customWidth="1"/>
    <col min="12" max="12" width="13.6640625" style="1" customWidth="1"/>
    <col min="13" max="14" width="13.1640625" style="1" customWidth="1"/>
    <col min="15" max="15" width="2.83203125" customWidth="1"/>
    <col min="16" max="16" width="13.6640625" style="1" customWidth="1"/>
    <col min="17" max="18" width="13.1640625" style="1" customWidth="1"/>
    <col min="19" max="19" width="2.83203125" customWidth="1"/>
    <col min="20" max="20" width="13.6640625" style="1" customWidth="1"/>
    <col min="21" max="22" width="13.1640625" style="1" customWidth="1"/>
    <col min="23" max="23" width="2.83203125" customWidth="1"/>
    <col min="24" max="24" width="13.6640625" style="1" customWidth="1"/>
    <col min="25" max="26" width="13.1640625" style="1" customWidth="1"/>
    <col min="27" max="27" width="2.83203125" customWidth="1"/>
    <col min="28" max="28" width="13.6640625" style="1" customWidth="1"/>
    <col min="29" max="30" width="13.1640625" style="1" customWidth="1"/>
  </cols>
  <sheetData>
    <row r="2" spans="2:33" x14ac:dyDescent="0.2">
      <c r="E2" s="112" t="s">
        <v>23</v>
      </c>
      <c r="F2" s="112"/>
      <c r="G2" s="112"/>
      <c r="H2" s="112"/>
      <c r="I2" s="112"/>
      <c r="J2" s="112"/>
      <c r="L2" s="1" t="s">
        <v>24</v>
      </c>
      <c r="P2" s="1" t="s">
        <v>26</v>
      </c>
      <c r="T2" s="1" t="s">
        <v>28</v>
      </c>
      <c r="X2" s="1" t="s">
        <v>30</v>
      </c>
      <c r="AB2" s="1" t="s">
        <v>31</v>
      </c>
    </row>
    <row r="3" spans="2:33" x14ac:dyDescent="0.2">
      <c r="B3" s="39" t="s">
        <v>19</v>
      </c>
      <c r="C3" s="40" t="s">
        <v>35</v>
      </c>
      <c r="D3" s="51"/>
      <c r="E3" s="41" t="s">
        <v>18</v>
      </c>
      <c r="F3" s="42" t="s">
        <v>16</v>
      </c>
      <c r="G3" s="43" t="s">
        <v>17</v>
      </c>
      <c r="H3" s="51"/>
      <c r="I3" s="41" t="s">
        <v>32</v>
      </c>
      <c r="J3" s="42" t="s">
        <v>33</v>
      </c>
      <c r="L3" s="2" t="s">
        <v>18</v>
      </c>
      <c r="M3" s="3" t="s">
        <v>16</v>
      </c>
      <c r="N3" s="4" t="s">
        <v>17</v>
      </c>
      <c r="P3" s="2" t="s">
        <v>18</v>
      </c>
      <c r="Q3" s="3" t="s">
        <v>16</v>
      </c>
      <c r="R3" s="4" t="s">
        <v>17</v>
      </c>
      <c r="T3" s="2" t="s">
        <v>18</v>
      </c>
      <c r="U3" s="3" t="s">
        <v>16</v>
      </c>
      <c r="V3" s="4" t="s">
        <v>17</v>
      </c>
      <c r="X3" s="2" t="s">
        <v>18</v>
      </c>
      <c r="Y3" s="3" t="s">
        <v>16</v>
      </c>
      <c r="Z3" s="4" t="s">
        <v>17</v>
      </c>
      <c r="AB3" s="2" t="s">
        <v>18</v>
      </c>
      <c r="AC3" s="3" t="s">
        <v>16</v>
      </c>
      <c r="AD3" s="4" t="s">
        <v>17</v>
      </c>
    </row>
    <row r="4" spans="2:33" x14ac:dyDescent="0.2">
      <c r="B4" s="22" t="s">
        <v>0</v>
      </c>
      <c r="C4" t="s">
        <v>36</v>
      </c>
      <c r="E4" s="16">
        <v>125129</v>
      </c>
      <c r="F4" s="17">
        <v>126012</v>
      </c>
      <c r="G4" s="18">
        <v>116643</v>
      </c>
      <c r="I4" s="16">
        <f>F4-E4</f>
        <v>883</v>
      </c>
      <c r="J4" s="19">
        <f>F4/G4-1</f>
        <v>8.0322008178802085E-2</v>
      </c>
      <c r="L4" s="5">
        <v>79066</v>
      </c>
      <c r="M4" s="6">
        <v>79820</v>
      </c>
      <c r="N4" s="7">
        <v>75559</v>
      </c>
      <c r="P4" s="5">
        <v>70681</v>
      </c>
      <c r="Q4" s="6">
        <v>70552</v>
      </c>
      <c r="R4" s="7">
        <v>66136</v>
      </c>
      <c r="T4" s="5">
        <v>419230</v>
      </c>
      <c r="U4" s="6">
        <v>420955</v>
      </c>
      <c r="V4" s="7">
        <v>397592</v>
      </c>
      <c r="X4" s="5">
        <v>229252</v>
      </c>
      <c r="Y4" s="6">
        <v>231565</v>
      </c>
      <c r="Z4" s="7">
        <v>221620</v>
      </c>
      <c r="AB4" s="5">
        <v>142994</v>
      </c>
      <c r="AC4" s="6">
        <v>144008</v>
      </c>
      <c r="AD4" s="7">
        <v>128728</v>
      </c>
    </row>
    <row r="5" spans="2:33" x14ac:dyDescent="0.2">
      <c r="B5" s="22" t="s">
        <v>1</v>
      </c>
      <c r="C5" t="s">
        <v>36</v>
      </c>
      <c r="E5" s="16">
        <v>14958</v>
      </c>
      <c r="F5" s="17">
        <v>16427</v>
      </c>
      <c r="G5" s="18">
        <v>14762</v>
      </c>
      <c r="I5" s="16">
        <f t="shared" ref="I5:I11" si="0">F5-E5</f>
        <v>1469</v>
      </c>
      <c r="J5" s="19">
        <f t="shared" ref="J5:J25" si="1">F5/G5-1</f>
        <v>0.11278959490583929</v>
      </c>
      <c r="L5" s="8">
        <v>36774</v>
      </c>
      <c r="M5" s="9">
        <v>30734</v>
      </c>
      <c r="N5" s="10">
        <v>32134</v>
      </c>
      <c r="P5" s="8">
        <v>14655</v>
      </c>
      <c r="Q5" s="9">
        <v>16689</v>
      </c>
      <c r="R5" s="10">
        <v>15565</v>
      </c>
      <c r="T5" s="8">
        <v>149206</v>
      </c>
      <c r="U5" s="9">
        <v>162346</v>
      </c>
      <c r="V5" s="10">
        <v>163152</v>
      </c>
      <c r="X5" s="8">
        <v>49973</v>
      </c>
      <c r="Y5" s="9">
        <v>46819</v>
      </c>
      <c r="Z5" s="10">
        <v>41788</v>
      </c>
      <c r="AB5" s="8">
        <v>29911</v>
      </c>
      <c r="AC5" s="9">
        <v>35509</v>
      </c>
      <c r="AD5" s="10">
        <v>31193</v>
      </c>
    </row>
    <row r="6" spans="2:33" x14ac:dyDescent="0.2">
      <c r="B6" s="22" t="s">
        <v>2</v>
      </c>
      <c r="C6" t="s">
        <v>37</v>
      </c>
      <c r="E6" s="16">
        <v>3963</v>
      </c>
      <c r="F6" s="17">
        <v>4636</v>
      </c>
      <c r="G6" s="18">
        <v>4179</v>
      </c>
      <c r="I6" s="16">
        <f t="shared" si="0"/>
        <v>673</v>
      </c>
      <c r="J6" s="19">
        <f t="shared" si="1"/>
        <v>0.10935630533620477</v>
      </c>
      <c r="L6" s="5">
        <v>10216</v>
      </c>
      <c r="M6" s="6">
        <v>13967</v>
      </c>
      <c r="N6" s="7">
        <v>10239</v>
      </c>
      <c r="P6" s="5">
        <v>16941</v>
      </c>
      <c r="Q6" s="6">
        <v>15347</v>
      </c>
      <c r="R6" s="7">
        <v>16230</v>
      </c>
      <c r="T6" s="5">
        <v>42362</v>
      </c>
      <c r="U6" s="6">
        <v>50103</v>
      </c>
      <c r="V6" s="7">
        <v>41915</v>
      </c>
      <c r="X6" s="5">
        <v>18880</v>
      </c>
      <c r="Y6" s="6">
        <v>18382</v>
      </c>
      <c r="Z6" s="7">
        <v>12358</v>
      </c>
      <c r="AB6" s="5">
        <v>6933</v>
      </c>
      <c r="AC6" s="6">
        <v>9660</v>
      </c>
      <c r="AD6" s="7">
        <v>9312</v>
      </c>
    </row>
    <row r="7" spans="2:33" x14ac:dyDescent="0.2">
      <c r="B7" s="22" t="s">
        <v>3</v>
      </c>
      <c r="C7" t="s">
        <v>36</v>
      </c>
      <c r="E7" s="16">
        <v>9174</v>
      </c>
      <c r="F7" s="17">
        <v>13562</v>
      </c>
      <c r="G7" s="18">
        <v>10642</v>
      </c>
      <c r="I7" s="16">
        <f t="shared" si="0"/>
        <v>4388</v>
      </c>
      <c r="J7" s="19">
        <f t="shared" si="1"/>
        <v>0.27438451418906218</v>
      </c>
      <c r="L7" s="8">
        <v>4666</v>
      </c>
      <c r="M7" s="9">
        <v>4869</v>
      </c>
      <c r="N7" s="10">
        <v>5453</v>
      </c>
      <c r="P7" s="8">
        <v>5014</v>
      </c>
      <c r="Q7" s="9">
        <v>4615</v>
      </c>
      <c r="R7" s="10">
        <v>5676</v>
      </c>
      <c r="T7" s="8">
        <v>17477</v>
      </c>
      <c r="U7" s="9">
        <v>15652</v>
      </c>
      <c r="V7" s="10">
        <v>16508</v>
      </c>
      <c r="X7" s="8">
        <v>23721</v>
      </c>
      <c r="Y7" s="9">
        <v>17849</v>
      </c>
      <c r="Z7" s="10">
        <v>16057</v>
      </c>
      <c r="AB7" s="8">
        <v>19810</v>
      </c>
      <c r="AC7" s="9">
        <v>18992</v>
      </c>
      <c r="AD7" s="10">
        <v>23113</v>
      </c>
    </row>
    <row r="8" spans="2:33" x14ac:dyDescent="0.2">
      <c r="B8" s="22" t="s">
        <v>4</v>
      </c>
      <c r="C8" t="s">
        <v>36</v>
      </c>
      <c r="E8" s="16">
        <v>9940</v>
      </c>
      <c r="F8" s="17">
        <v>41945</v>
      </c>
      <c r="G8" s="18">
        <v>-22203</v>
      </c>
      <c r="I8" s="16">
        <f t="shared" si="0"/>
        <v>32005</v>
      </c>
      <c r="J8" s="19">
        <f t="shared" si="1"/>
        <v>-2.8891591226410842</v>
      </c>
      <c r="L8" s="5">
        <v>3058</v>
      </c>
      <c r="M8" s="6">
        <v>13909</v>
      </c>
      <c r="N8" s="7">
        <v>16690</v>
      </c>
      <c r="P8" s="5">
        <v>2897</v>
      </c>
      <c r="Q8" s="6">
        <v>8612</v>
      </c>
      <c r="R8" s="7">
        <v>16212</v>
      </c>
      <c r="T8" s="5">
        <v>95048</v>
      </c>
      <c r="U8" s="6">
        <v>111331</v>
      </c>
      <c r="V8" s="7">
        <v>117839</v>
      </c>
      <c r="X8" s="5">
        <v>75732</v>
      </c>
      <c r="Y8" s="6">
        <v>69198</v>
      </c>
      <c r="Z8" s="7">
        <v>57452</v>
      </c>
      <c r="AB8" s="5">
        <v>102404</v>
      </c>
      <c r="AC8" s="6">
        <v>167184</v>
      </c>
      <c r="AD8" s="7">
        <v>154622</v>
      </c>
    </row>
    <row r="9" spans="2:33" x14ac:dyDescent="0.2">
      <c r="B9" s="22" t="s">
        <v>5</v>
      </c>
      <c r="C9" t="s">
        <v>37</v>
      </c>
      <c r="E9" s="16">
        <v>10271</v>
      </c>
      <c r="F9" s="17">
        <v>12548</v>
      </c>
      <c r="G9" s="18">
        <v>12970</v>
      </c>
      <c r="I9" s="16">
        <f t="shared" si="0"/>
        <v>2277</v>
      </c>
      <c r="J9" s="19">
        <f t="shared" si="1"/>
        <v>-3.2536622976098717E-2</v>
      </c>
      <c r="L9" s="8">
        <v>2665</v>
      </c>
      <c r="M9" s="9">
        <v>5759</v>
      </c>
      <c r="N9" s="10">
        <v>5612</v>
      </c>
      <c r="P9" s="8">
        <v>3223</v>
      </c>
      <c r="Q9" s="9">
        <v>6103</v>
      </c>
      <c r="R9" s="10">
        <v>5626</v>
      </c>
      <c r="T9" s="8">
        <v>34285</v>
      </c>
      <c r="U9" s="9">
        <v>39676</v>
      </c>
      <c r="V9" s="10">
        <v>39591</v>
      </c>
      <c r="X9" s="8">
        <v>23690</v>
      </c>
      <c r="Y9" s="9">
        <v>28486</v>
      </c>
      <c r="Z9" s="10">
        <v>30898</v>
      </c>
      <c r="AB9" s="8">
        <v>12978</v>
      </c>
      <c r="AC9" s="9">
        <v>30305</v>
      </c>
      <c r="AD9" s="10">
        <v>25956</v>
      </c>
    </row>
    <row r="10" spans="2:33" x14ac:dyDescent="0.2">
      <c r="B10" s="22" t="s">
        <v>6</v>
      </c>
      <c r="C10" t="s">
        <v>37</v>
      </c>
      <c r="E10" s="16">
        <v>4050</v>
      </c>
      <c r="F10" s="17">
        <v>9991</v>
      </c>
      <c r="G10" s="18">
        <v>5759</v>
      </c>
      <c r="I10" s="16">
        <f t="shared" si="0"/>
        <v>5941</v>
      </c>
      <c r="J10" s="19">
        <f t="shared" si="1"/>
        <v>0.73484980031255431</v>
      </c>
      <c r="L10" s="5">
        <v>5887</v>
      </c>
      <c r="M10" s="6">
        <v>5522</v>
      </c>
      <c r="N10" s="7">
        <v>5970</v>
      </c>
      <c r="P10" s="5">
        <v>17920</v>
      </c>
      <c r="Q10" s="6">
        <v>17655</v>
      </c>
      <c r="R10" s="7">
        <v>17608</v>
      </c>
      <c r="T10" s="5">
        <v>88075</v>
      </c>
      <c r="U10" s="6">
        <v>109685</v>
      </c>
      <c r="V10" s="7">
        <v>100738</v>
      </c>
      <c r="X10" s="5">
        <v>600</v>
      </c>
      <c r="Y10" s="6">
        <v>26905</v>
      </c>
      <c r="Z10" s="7">
        <v>91653</v>
      </c>
      <c r="AB10" s="5">
        <v>8427</v>
      </c>
      <c r="AC10" s="6">
        <v>8691</v>
      </c>
      <c r="AD10" s="7">
        <v>8152</v>
      </c>
      <c r="AG10" t="s">
        <v>49</v>
      </c>
    </row>
    <row r="11" spans="2:33" x14ac:dyDescent="0.2">
      <c r="B11" s="22" t="s">
        <v>27</v>
      </c>
      <c r="C11" t="s">
        <v>37</v>
      </c>
      <c r="E11" s="16">
        <v>0</v>
      </c>
      <c r="F11" s="17">
        <v>0</v>
      </c>
      <c r="G11" s="17">
        <v>0</v>
      </c>
      <c r="I11" s="16">
        <f t="shared" si="0"/>
        <v>0</v>
      </c>
      <c r="J11" s="19" t="e">
        <f t="shared" si="1"/>
        <v>#DIV/0!</v>
      </c>
      <c r="L11" s="5">
        <v>0</v>
      </c>
      <c r="M11" s="6">
        <v>0</v>
      </c>
      <c r="N11" s="6">
        <v>0</v>
      </c>
      <c r="P11" s="5">
        <v>1200</v>
      </c>
      <c r="Q11" s="6">
        <v>19</v>
      </c>
      <c r="R11" s="6">
        <v>-6683</v>
      </c>
      <c r="T11" s="5">
        <v>0</v>
      </c>
      <c r="U11" s="6">
        <v>0</v>
      </c>
      <c r="V11" s="6">
        <v>0</v>
      </c>
      <c r="X11" s="5"/>
      <c r="Y11" s="6"/>
      <c r="Z11" s="6"/>
      <c r="AB11" s="5"/>
      <c r="AC11" s="6"/>
      <c r="AD11" s="6"/>
    </row>
    <row r="12" spans="2:33" x14ac:dyDescent="0.2">
      <c r="B12" s="22" t="s">
        <v>29</v>
      </c>
      <c r="C12" t="s">
        <v>37</v>
      </c>
      <c r="E12" s="16"/>
      <c r="F12" s="17"/>
      <c r="G12" s="17"/>
      <c r="I12" s="16"/>
      <c r="J12" s="19" t="e">
        <f t="shared" si="1"/>
        <v>#DIV/0!</v>
      </c>
      <c r="L12" s="5"/>
      <c r="M12" s="6"/>
      <c r="N12" s="6"/>
      <c r="P12" s="5"/>
      <c r="Q12" s="6"/>
      <c r="R12" s="6"/>
      <c r="T12" s="5">
        <v>0</v>
      </c>
      <c r="U12" s="6">
        <v>0</v>
      </c>
      <c r="V12" s="6">
        <v>17242</v>
      </c>
      <c r="X12" s="5"/>
      <c r="Y12" s="6"/>
      <c r="Z12" s="6"/>
      <c r="AB12" s="5">
        <v>1262</v>
      </c>
      <c r="AC12" s="6">
        <v>3102</v>
      </c>
      <c r="AD12" s="6">
        <v>2407</v>
      </c>
      <c r="AG12" s="53" t="s">
        <v>50</v>
      </c>
    </row>
    <row r="13" spans="2:33" x14ac:dyDescent="0.2">
      <c r="B13" s="24" t="s">
        <v>7</v>
      </c>
      <c r="C13" s="25" t="s">
        <v>38</v>
      </c>
      <c r="D13" s="51"/>
      <c r="E13" s="26">
        <f>SUM(E4:E12)</f>
        <v>177485</v>
      </c>
      <c r="F13" s="26">
        <f>SUM(F4:F12)</f>
        <v>225121</v>
      </c>
      <c r="G13" s="26">
        <f>SUM(G4:G12)</f>
        <v>142752</v>
      </c>
      <c r="H13" s="51"/>
      <c r="I13" s="26">
        <f>SUM(I4:I12)</f>
        <v>47636</v>
      </c>
      <c r="J13" s="27">
        <f t="shared" si="1"/>
        <v>0.57700767765075089</v>
      </c>
      <c r="L13" s="11">
        <f>SUM(L4:L12)</f>
        <v>142332</v>
      </c>
      <c r="M13" s="11">
        <f>SUM(M4:M12)</f>
        <v>154580</v>
      </c>
      <c r="N13" s="11">
        <f>SUM(N4:N12)</f>
        <v>151657</v>
      </c>
      <c r="P13" s="11">
        <f>SUM(P4:P12)</f>
        <v>132531</v>
      </c>
      <c r="Q13" s="11">
        <f>SUM(Q4:Q12)</f>
        <v>139592</v>
      </c>
      <c r="R13" s="11">
        <f>SUM(R4:R12)</f>
        <v>136370</v>
      </c>
      <c r="T13" s="11">
        <f>SUM(T4:T12)</f>
        <v>845683</v>
      </c>
      <c r="U13" s="11">
        <f>SUM(U4:U12)</f>
        <v>909748</v>
      </c>
      <c r="V13" s="11">
        <f>SUM(V4:V12)</f>
        <v>894577</v>
      </c>
      <c r="X13" s="11">
        <f>SUM(X4:X12)</f>
        <v>421848</v>
      </c>
      <c r="Y13" s="11">
        <f>SUM(Y4:Y12)</f>
        <v>439204</v>
      </c>
      <c r="Z13" s="11">
        <f>SUM(Z4:Z12)</f>
        <v>471826</v>
      </c>
      <c r="AB13" s="11">
        <f>SUM(AB4:AB12)</f>
        <v>324719</v>
      </c>
      <c r="AC13" s="11">
        <f>SUM(AC4:AC12)</f>
        <v>417451</v>
      </c>
      <c r="AD13" s="11">
        <f>SUM(AD4:AD12)</f>
        <v>383483</v>
      </c>
      <c r="AG13" s="54"/>
    </row>
    <row r="14" spans="2:33" x14ac:dyDescent="0.2">
      <c r="B14" s="22" t="s">
        <v>8</v>
      </c>
      <c r="C14" t="s">
        <v>41</v>
      </c>
      <c r="E14" s="16">
        <v>58497</v>
      </c>
      <c r="F14" s="17">
        <v>58441</v>
      </c>
      <c r="G14" s="18">
        <v>54031</v>
      </c>
      <c r="I14" s="16">
        <f t="shared" ref="I14:I19" si="2">F14-E14</f>
        <v>-56</v>
      </c>
      <c r="J14" s="19">
        <f t="shared" si="1"/>
        <v>8.1619810849327346E-2</v>
      </c>
      <c r="L14" s="8">
        <v>55651</v>
      </c>
      <c r="M14" s="9">
        <v>48080</v>
      </c>
      <c r="N14" s="10">
        <v>49118</v>
      </c>
      <c r="P14" s="8">
        <v>53223</v>
      </c>
      <c r="Q14" s="9">
        <v>52968</v>
      </c>
      <c r="R14" s="10">
        <v>47706</v>
      </c>
      <c r="T14" s="8">
        <v>289337</v>
      </c>
      <c r="U14" s="9">
        <v>306623</v>
      </c>
      <c r="V14" s="10">
        <v>276897</v>
      </c>
      <c r="X14" s="8">
        <v>145934</v>
      </c>
      <c r="Y14" s="9">
        <v>164786</v>
      </c>
      <c r="Z14" s="10">
        <v>159530</v>
      </c>
      <c r="AB14" s="8">
        <v>83698</v>
      </c>
      <c r="AC14" s="9">
        <v>81713</v>
      </c>
      <c r="AD14" s="10">
        <v>73247</v>
      </c>
      <c r="AG14" s="54"/>
    </row>
    <row r="15" spans="2:33" x14ac:dyDescent="0.2">
      <c r="B15" s="22" t="s">
        <v>9</v>
      </c>
      <c r="C15" t="s">
        <v>41</v>
      </c>
      <c r="E15" s="16">
        <v>71796</v>
      </c>
      <c r="F15" s="17">
        <v>72268</v>
      </c>
      <c r="G15" s="18">
        <v>82222</v>
      </c>
      <c r="I15" s="16">
        <f t="shared" si="2"/>
        <v>472</v>
      </c>
      <c r="J15" s="19">
        <f t="shared" si="1"/>
        <v>-0.12106248935807939</v>
      </c>
      <c r="L15" s="5">
        <v>53337</v>
      </c>
      <c r="M15" s="6">
        <v>52555</v>
      </c>
      <c r="N15" s="7">
        <v>51176</v>
      </c>
      <c r="P15" s="5">
        <v>48496</v>
      </c>
      <c r="Q15" s="6">
        <v>51840</v>
      </c>
      <c r="R15" s="7">
        <v>50408</v>
      </c>
      <c r="T15" s="5">
        <v>244959</v>
      </c>
      <c r="U15" s="6">
        <v>286173</v>
      </c>
      <c r="V15" s="7">
        <v>299048</v>
      </c>
      <c r="X15" s="5">
        <v>72736</v>
      </c>
      <c r="Y15" s="6">
        <v>135446</v>
      </c>
      <c r="Z15" s="7">
        <v>129925</v>
      </c>
      <c r="AB15" s="5">
        <v>88447</v>
      </c>
      <c r="AC15" s="6">
        <v>89550</v>
      </c>
      <c r="AD15" s="7">
        <v>79966</v>
      </c>
      <c r="AG15" s="54"/>
    </row>
    <row r="16" spans="2:33" x14ac:dyDescent="0.2">
      <c r="B16" s="22" t="s">
        <v>10</v>
      </c>
      <c r="C16" t="s">
        <v>39</v>
      </c>
      <c r="E16" s="16">
        <v>10</v>
      </c>
      <c r="F16" s="17">
        <v>23</v>
      </c>
      <c r="G16" s="18">
        <v>16</v>
      </c>
      <c r="I16" s="16">
        <f t="shared" si="2"/>
        <v>13</v>
      </c>
      <c r="J16" s="19">
        <f t="shared" si="1"/>
        <v>0.4375</v>
      </c>
      <c r="L16" s="8">
        <v>2382</v>
      </c>
      <c r="M16" s="9">
        <v>2365</v>
      </c>
      <c r="N16" s="10">
        <v>1497</v>
      </c>
      <c r="P16" s="8">
        <v>3014</v>
      </c>
      <c r="Q16" s="9">
        <v>1745</v>
      </c>
      <c r="R16" s="10">
        <v>1806</v>
      </c>
      <c r="T16" s="8">
        <v>0</v>
      </c>
      <c r="U16" s="9">
        <v>211</v>
      </c>
      <c r="V16" s="10">
        <v>216</v>
      </c>
      <c r="X16" s="8">
        <v>98</v>
      </c>
      <c r="Y16" s="9">
        <v>47</v>
      </c>
      <c r="Z16" s="10">
        <v>135</v>
      </c>
      <c r="AB16" s="8">
        <v>0</v>
      </c>
      <c r="AC16" s="9">
        <v>64</v>
      </c>
      <c r="AD16" s="10">
        <v>37</v>
      </c>
      <c r="AG16" s="54"/>
    </row>
    <row r="17" spans="2:33" x14ac:dyDescent="0.2">
      <c r="B17" s="22" t="s">
        <v>11</v>
      </c>
      <c r="C17" t="s">
        <v>39</v>
      </c>
      <c r="E17" s="16">
        <v>4576</v>
      </c>
      <c r="F17" s="17">
        <v>4686</v>
      </c>
      <c r="G17" s="18">
        <v>4813</v>
      </c>
      <c r="I17" s="16">
        <f t="shared" si="2"/>
        <v>110</v>
      </c>
      <c r="J17" s="19">
        <f t="shared" si="1"/>
        <v>-2.6386868896738025E-2</v>
      </c>
      <c r="L17" s="5">
        <v>4783</v>
      </c>
      <c r="M17" s="6">
        <v>5108</v>
      </c>
      <c r="N17" s="7">
        <v>7269</v>
      </c>
      <c r="P17" s="5">
        <v>5041</v>
      </c>
      <c r="Q17" s="6">
        <v>4717</v>
      </c>
      <c r="R17" s="7">
        <v>4807</v>
      </c>
      <c r="T17" s="5">
        <v>69197</v>
      </c>
      <c r="U17" s="6">
        <v>46497</v>
      </c>
      <c r="V17" s="7">
        <v>46557</v>
      </c>
      <c r="X17" s="5">
        <v>55225</v>
      </c>
      <c r="Y17" s="6">
        <v>5907</v>
      </c>
      <c r="Z17" s="7">
        <v>6488</v>
      </c>
      <c r="AB17" s="5">
        <v>6710</v>
      </c>
      <c r="AC17" s="6">
        <v>19498</v>
      </c>
      <c r="AD17" s="7">
        <v>41618</v>
      </c>
      <c r="AG17" s="55"/>
    </row>
    <row r="18" spans="2:33" x14ac:dyDescent="0.2">
      <c r="B18" s="22" t="s">
        <v>12</v>
      </c>
      <c r="C18" t="s">
        <v>39</v>
      </c>
      <c r="E18" s="16">
        <v>0</v>
      </c>
      <c r="F18" s="17">
        <v>1211</v>
      </c>
      <c r="G18" s="18">
        <v>4560</v>
      </c>
      <c r="I18" s="16">
        <f t="shared" si="2"/>
        <v>1211</v>
      </c>
      <c r="J18" s="19">
        <f t="shared" si="1"/>
        <v>-0.73442982456140349</v>
      </c>
      <c r="L18" s="8">
        <v>277</v>
      </c>
      <c r="M18" s="9">
        <v>883</v>
      </c>
      <c r="N18" s="10">
        <v>1304</v>
      </c>
      <c r="P18" s="8">
        <v>1685</v>
      </c>
      <c r="Q18" s="9">
        <v>1946</v>
      </c>
      <c r="R18" s="10">
        <v>2538</v>
      </c>
      <c r="T18" s="8">
        <v>0</v>
      </c>
      <c r="U18" s="9">
        <v>6568</v>
      </c>
      <c r="V18" s="10"/>
      <c r="X18" s="8">
        <v>-211</v>
      </c>
      <c r="Y18" s="9">
        <v>7307</v>
      </c>
      <c r="Z18" s="10">
        <v>25659</v>
      </c>
      <c r="AB18" s="8">
        <v>0</v>
      </c>
      <c r="AC18" s="9">
        <v>0</v>
      </c>
      <c r="AD18" s="10">
        <v>0</v>
      </c>
      <c r="AG18" s="53" t="s">
        <v>51</v>
      </c>
    </row>
    <row r="19" spans="2:33" ht="32" x14ac:dyDescent="0.2">
      <c r="B19" s="23" t="s">
        <v>25</v>
      </c>
      <c r="C19" t="s">
        <v>39</v>
      </c>
      <c r="E19" s="16">
        <v>0</v>
      </c>
      <c r="F19" s="17">
        <v>0</v>
      </c>
      <c r="G19" s="17">
        <v>0</v>
      </c>
      <c r="I19" s="16">
        <f t="shared" si="2"/>
        <v>0</v>
      </c>
      <c r="J19" s="19" t="e">
        <f t="shared" si="1"/>
        <v>#DIV/0!</v>
      </c>
      <c r="L19" s="8">
        <v>0</v>
      </c>
      <c r="M19" s="9">
        <v>1</v>
      </c>
      <c r="N19" s="9">
        <v>0</v>
      </c>
      <c r="P19" s="8">
        <v>0</v>
      </c>
      <c r="Q19" s="9">
        <v>0</v>
      </c>
      <c r="R19" s="9">
        <v>0</v>
      </c>
      <c r="T19" s="8">
        <v>0</v>
      </c>
      <c r="U19" s="9">
        <v>0</v>
      </c>
      <c r="V19" s="9"/>
      <c r="X19" s="8"/>
      <c r="Y19" s="9"/>
      <c r="Z19" s="9"/>
      <c r="AB19" s="8">
        <v>0</v>
      </c>
      <c r="AC19" s="9">
        <v>0</v>
      </c>
      <c r="AD19" s="9">
        <v>0</v>
      </c>
      <c r="AG19" s="54"/>
    </row>
    <row r="20" spans="2:33" ht="32" x14ac:dyDescent="0.2">
      <c r="B20" s="28" t="s">
        <v>21</v>
      </c>
      <c r="C20" s="29" t="s">
        <v>40</v>
      </c>
      <c r="D20" s="52"/>
      <c r="E20" s="30">
        <f>SUM(E14:E19)</f>
        <v>134879</v>
      </c>
      <c r="F20" s="30">
        <f>SUM(F14:F19)</f>
        <v>136629</v>
      </c>
      <c r="G20" s="30">
        <f>SUM(G14:G19)</f>
        <v>145642</v>
      </c>
      <c r="H20" s="52"/>
      <c r="I20" s="30">
        <f>SUM(I14:I19)</f>
        <v>1750</v>
      </c>
      <c r="J20" s="31">
        <f t="shared" si="1"/>
        <v>-6.1884621194435718E-2</v>
      </c>
      <c r="L20" s="12">
        <f>SUM(L14:L19)</f>
        <v>116430</v>
      </c>
      <c r="M20" s="12">
        <f>SUM(M14:M19)</f>
        <v>108992</v>
      </c>
      <c r="N20" s="12">
        <f>SUM(N14:N19)</f>
        <v>110364</v>
      </c>
      <c r="P20" s="12">
        <f>SUM(P14:P19)</f>
        <v>111459</v>
      </c>
      <c r="Q20" s="12">
        <f>SUM(Q14:Q19)</f>
        <v>113216</v>
      </c>
      <c r="R20" s="12">
        <f>SUM(R14:R19)</f>
        <v>107265</v>
      </c>
      <c r="T20" s="12">
        <f>SUM(T14:T19)</f>
        <v>603493</v>
      </c>
      <c r="U20" s="12">
        <f>SUM(U14:U19)</f>
        <v>646072</v>
      </c>
      <c r="V20" s="12">
        <f>SUM(V14:V19)</f>
        <v>622718</v>
      </c>
      <c r="X20" s="12">
        <f>SUM(X14:X19)</f>
        <v>273782</v>
      </c>
      <c r="Y20" s="12">
        <f>SUM(Y14:Y19)</f>
        <v>313493</v>
      </c>
      <c r="Z20" s="12">
        <f>SUM(Z14:Z19)</f>
        <v>321737</v>
      </c>
      <c r="AB20" s="12">
        <f>SUM(AB14:AB19)</f>
        <v>178855</v>
      </c>
      <c r="AC20" s="12">
        <f>SUM(AC14:AC19)</f>
        <v>190825</v>
      </c>
      <c r="AD20" s="12">
        <f>SUM(AD14:AD19)</f>
        <v>194868</v>
      </c>
      <c r="AG20" s="54"/>
    </row>
    <row r="21" spans="2:33" ht="32" x14ac:dyDescent="0.2">
      <c r="B21" s="28" t="s">
        <v>20</v>
      </c>
      <c r="C21" s="29" t="s">
        <v>42</v>
      </c>
      <c r="D21" s="52"/>
      <c r="E21" s="30">
        <f>E13-E20</f>
        <v>42606</v>
      </c>
      <c r="F21" s="30">
        <f>F13-F20</f>
        <v>88492</v>
      </c>
      <c r="G21" s="30">
        <f>G13-G20</f>
        <v>-2890</v>
      </c>
      <c r="H21" s="52"/>
      <c r="I21" s="30">
        <f>I13-I20</f>
        <v>45886</v>
      </c>
      <c r="J21" s="31">
        <f t="shared" si="1"/>
        <v>-31.620069204152248</v>
      </c>
      <c r="L21" s="14">
        <f>L13-L20</f>
        <v>25902</v>
      </c>
      <c r="M21" s="14">
        <f>M13-M20</f>
        <v>45588</v>
      </c>
      <c r="N21" s="14">
        <f>N13-N20</f>
        <v>41293</v>
      </c>
      <c r="P21" s="14">
        <f>P13-P20</f>
        <v>21072</v>
      </c>
      <c r="Q21" s="14">
        <f>Q13-Q20</f>
        <v>26376</v>
      </c>
      <c r="R21" s="14">
        <f>R13-R20</f>
        <v>29105</v>
      </c>
      <c r="T21" s="14">
        <f>T13-T20</f>
        <v>242190</v>
      </c>
      <c r="U21" s="14">
        <f>U13-U20</f>
        <v>263676</v>
      </c>
      <c r="V21" s="14">
        <f>V13-V20</f>
        <v>271859</v>
      </c>
      <c r="X21" s="14">
        <f>X13-X20</f>
        <v>148066</v>
      </c>
      <c r="Y21" s="14">
        <f>Y13-Y20</f>
        <v>125711</v>
      </c>
      <c r="Z21" s="14">
        <f>Z13-Z20</f>
        <v>150089</v>
      </c>
      <c r="AB21" s="14">
        <f>AB13-AB20</f>
        <v>145864</v>
      </c>
      <c r="AC21" s="14">
        <f>AC13-AC20</f>
        <v>226626</v>
      </c>
      <c r="AD21" s="14">
        <f>AD13-AD20</f>
        <v>188615</v>
      </c>
      <c r="AG21" s="54"/>
    </row>
    <row r="22" spans="2:33" x14ac:dyDescent="0.2">
      <c r="B22" s="22" t="s">
        <v>13</v>
      </c>
      <c r="C22" t="s">
        <v>43</v>
      </c>
      <c r="E22" s="16">
        <v>25461</v>
      </c>
      <c r="F22" s="17">
        <v>25979</v>
      </c>
      <c r="G22" s="18">
        <v>25107</v>
      </c>
      <c r="I22" s="16">
        <f>F22-E22</f>
        <v>518</v>
      </c>
      <c r="J22" s="19">
        <f t="shared" si="1"/>
        <v>3.4731349822758606E-2</v>
      </c>
      <c r="L22" s="5">
        <v>31095</v>
      </c>
      <c r="M22" s="6">
        <v>30411</v>
      </c>
      <c r="N22" s="7">
        <v>28240</v>
      </c>
      <c r="P22" s="5">
        <v>16947.5</v>
      </c>
      <c r="Q22" s="6">
        <v>16413</v>
      </c>
      <c r="R22" s="7">
        <v>15348</v>
      </c>
      <c r="T22" s="5">
        <v>126789</v>
      </c>
      <c r="U22" s="6">
        <v>130214</v>
      </c>
      <c r="V22" s="7">
        <v>123938</v>
      </c>
      <c r="X22" s="5">
        <v>66500</v>
      </c>
      <c r="Y22" s="6">
        <v>70059</v>
      </c>
      <c r="Z22" s="7">
        <v>61531</v>
      </c>
      <c r="AB22" s="5">
        <v>29613</v>
      </c>
      <c r="AC22" s="6">
        <v>30232</v>
      </c>
      <c r="AD22" s="7">
        <v>26904</v>
      </c>
      <c r="AG22" s="55"/>
    </row>
    <row r="23" spans="2:33" ht="16" x14ac:dyDescent="0.2">
      <c r="B23" s="35" t="s">
        <v>14</v>
      </c>
      <c r="C23" s="36" t="s">
        <v>44</v>
      </c>
      <c r="D23" s="52"/>
      <c r="E23" s="37">
        <f>E21-E22</f>
        <v>17145</v>
      </c>
      <c r="F23" s="37">
        <f>F21-F22</f>
        <v>62513</v>
      </c>
      <c r="G23" s="37">
        <f>G21-G22</f>
        <v>-27997</v>
      </c>
      <c r="H23" s="52"/>
      <c r="I23" s="37">
        <f>I21-I22</f>
        <v>45368</v>
      </c>
      <c r="J23" s="38">
        <f t="shared" si="1"/>
        <v>-3.2328463763974713</v>
      </c>
      <c r="L23" s="11">
        <f>L21-L22</f>
        <v>-5193</v>
      </c>
      <c r="M23" s="11">
        <f>M21-M22</f>
        <v>15177</v>
      </c>
      <c r="N23" s="11">
        <f>N21-N22</f>
        <v>13053</v>
      </c>
      <c r="P23" s="11">
        <f>P21-P22</f>
        <v>4124.5</v>
      </c>
      <c r="Q23" s="11">
        <f>Q21-Q22</f>
        <v>9963</v>
      </c>
      <c r="R23" s="11">
        <f>R21-R22</f>
        <v>13757</v>
      </c>
      <c r="T23" s="11">
        <f>T21-T22</f>
        <v>115401</v>
      </c>
      <c r="U23" s="11">
        <f>U21-U22</f>
        <v>133462</v>
      </c>
      <c r="V23" s="11">
        <f>V21-V22</f>
        <v>147921</v>
      </c>
      <c r="X23" s="11">
        <f>X21-X22</f>
        <v>81566</v>
      </c>
      <c r="Y23" s="11">
        <f>Y21-Y22</f>
        <v>55652</v>
      </c>
      <c r="Z23" s="11">
        <f>Z21-Z22</f>
        <v>88558</v>
      </c>
      <c r="AB23" s="11">
        <f>AB21-AB22</f>
        <v>116251</v>
      </c>
      <c r="AC23" s="11">
        <f>AC21-AC22</f>
        <v>196394</v>
      </c>
      <c r="AD23" s="11">
        <f>AD21-AD22</f>
        <v>161711</v>
      </c>
    </row>
    <row r="24" spans="2:33" x14ac:dyDescent="0.2">
      <c r="B24" s="32" t="s">
        <v>15</v>
      </c>
      <c r="C24" t="s">
        <v>44</v>
      </c>
      <c r="E24" s="33">
        <f>E23</f>
        <v>17145</v>
      </c>
      <c r="F24" s="33">
        <f>F23</f>
        <v>62513</v>
      </c>
      <c r="G24" s="33">
        <f>G23</f>
        <v>-27997</v>
      </c>
      <c r="I24" s="33">
        <f>I23</f>
        <v>45368</v>
      </c>
      <c r="J24" s="34">
        <f t="shared" si="1"/>
        <v>-3.2328463763974713</v>
      </c>
      <c r="L24" s="13">
        <f>L23</f>
        <v>-5193</v>
      </c>
      <c r="M24" s="13">
        <f>M23</f>
        <v>15177</v>
      </c>
      <c r="N24" s="13">
        <f>N23</f>
        <v>13053</v>
      </c>
      <c r="P24" s="13">
        <f>P23</f>
        <v>4124.5</v>
      </c>
      <c r="Q24" s="13">
        <f>Q23</f>
        <v>9963</v>
      </c>
      <c r="R24" s="13">
        <f>R23</f>
        <v>13757</v>
      </c>
      <c r="T24" s="13">
        <f>T23</f>
        <v>115401</v>
      </c>
      <c r="U24" s="13">
        <f>U23</f>
        <v>133462</v>
      </c>
      <c r="V24" s="13">
        <f>V23</f>
        <v>147921</v>
      </c>
      <c r="X24" s="13">
        <f>X23</f>
        <v>81566</v>
      </c>
      <c r="Y24" s="13">
        <f>Y23</f>
        <v>55652</v>
      </c>
      <c r="Z24" s="13">
        <f>Z23</f>
        <v>88558</v>
      </c>
      <c r="AB24" s="13">
        <f>AB23</f>
        <v>116251</v>
      </c>
      <c r="AC24" s="13">
        <f>AC23</f>
        <v>196394</v>
      </c>
      <c r="AD24" s="13">
        <f>AD23</f>
        <v>161711</v>
      </c>
    </row>
    <row r="25" spans="2:33" ht="32" x14ac:dyDescent="0.2">
      <c r="B25" s="35" t="s">
        <v>22</v>
      </c>
      <c r="C25" s="36" t="s">
        <v>45</v>
      </c>
      <c r="D25" s="52"/>
      <c r="E25" s="37">
        <f>E24-E8</f>
        <v>7205</v>
      </c>
      <c r="F25" s="37">
        <f>F24-F8</f>
        <v>20568</v>
      </c>
      <c r="G25" s="37">
        <f>G24-G8</f>
        <v>-5794</v>
      </c>
      <c r="H25" s="52"/>
      <c r="I25" s="37">
        <f>I24-I8</f>
        <v>13363</v>
      </c>
      <c r="J25" s="38">
        <f t="shared" si="1"/>
        <v>-4.54987918536417</v>
      </c>
      <c r="L25" s="13">
        <f>L24-L8</f>
        <v>-8251</v>
      </c>
      <c r="M25" s="13">
        <f>M24-M8</f>
        <v>1268</v>
      </c>
      <c r="N25" s="13">
        <f>N24-N8</f>
        <v>-3637</v>
      </c>
      <c r="P25" s="13">
        <f>P24-P8</f>
        <v>1227.5</v>
      </c>
      <c r="Q25" s="13">
        <f>Q24-Q8</f>
        <v>1351</v>
      </c>
      <c r="R25" s="13">
        <f>R24-R8</f>
        <v>-2455</v>
      </c>
      <c r="T25" s="13">
        <f>T24-T8</f>
        <v>20353</v>
      </c>
      <c r="U25" s="13">
        <f>U24-U8</f>
        <v>22131</v>
      </c>
      <c r="V25" s="13">
        <f>V24-V8</f>
        <v>30082</v>
      </c>
      <c r="X25" s="13">
        <f>X24-X8</f>
        <v>5834</v>
      </c>
      <c r="Y25" s="13">
        <f>Y24-Y8</f>
        <v>-13546</v>
      </c>
      <c r="Z25" s="13">
        <f>Z24-Z8</f>
        <v>31106</v>
      </c>
      <c r="AB25" s="13">
        <f>AB24-AB8</f>
        <v>13847</v>
      </c>
      <c r="AC25" s="13">
        <f>AC24-AC8</f>
        <v>29210</v>
      </c>
      <c r="AD25" s="13">
        <f>AD24-AD8</f>
        <v>7089</v>
      </c>
    </row>
    <row r="26" spans="2:33" hidden="1" x14ac:dyDescent="0.2">
      <c r="E26" s="20"/>
      <c r="F26" s="20"/>
      <c r="G26" s="20"/>
      <c r="I26" s="20"/>
      <c r="J26" s="20"/>
    </row>
    <row r="27" spans="2:33" hidden="1" x14ac:dyDescent="0.2">
      <c r="E27" s="20"/>
      <c r="F27" s="20"/>
      <c r="G27" s="20"/>
      <c r="I27" s="20"/>
      <c r="J27" s="20"/>
    </row>
    <row r="28" spans="2:33" hidden="1" x14ac:dyDescent="0.2">
      <c r="B28" t="s">
        <v>32</v>
      </c>
      <c r="E28" s="20"/>
      <c r="F28" s="20"/>
      <c r="G28" s="20"/>
      <c r="I28" s="20"/>
      <c r="J28" s="20"/>
    </row>
    <row r="29" spans="2:33" hidden="1" x14ac:dyDescent="0.2">
      <c r="B29" t="s">
        <v>33</v>
      </c>
      <c r="E29" s="20"/>
      <c r="F29" s="20"/>
      <c r="G29" s="20"/>
      <c r="I29" s="20"/>
      <c r="J29" s="20"/>
    </row>
    <row r="30" spans="2:33" hidden="1" x14ac:dyDescent="0.2">
      <c r="E30" s="20"/>
      <c r="F30" s="20"/>
      <c r="G30" s="20"/>
      <c r="I30" s="20"/>
      <c r="J30" s="20"/>
    </row>
    <row r="31" spans="2:33" x14ac:dyDescent="0.2">
      <c r="E31" s="20"/>
      <c r="F31" s="20"/>
      <c r="G31" s="20"/>
      <c r="I31" s="20"/>
      <c r="J31" s="20"/>
    </row>
    <row r="32" spans="2:33" ht="22" x14ac:dyDescent="0.3">
      <c r="B32" s="48" t="s">
        <v>34</v>
      </c>
      <c r="C32" s="44"/>
      <c r="E32" s="20"/>
      <c r="F32" s="20"/>
      <c r="G32" s="20"/>
      <c r="I32" s="20"/>
      <c r="J32" s="20"/>
    </row>
    <row r="33" spans="2:37" x14ac:dyDescent="0.2">
      <c r="B33" s="45" t="s">
        <v>55</v>
      </c>
      <c r="C33" s="46"/>
      <c r="E33" s="58">
        <f>E13</f>
        <v>177485</v>
      </c>
      <c r="F33" s="58">
        <f>F13</f>
        <v>225121</v>
      </c>
      <c r="G33" s="58">
        <f>G13</f>
        <v>142752</v>
      </c>
      <c r="H33" s="21"/>
      <c r="I33" s="58">
        <f>F33-E33</f>
        <v>47636</v>
      </c>
      <c r="J33" s="47">
        <f>F33/G33-1</f>
        <v>0.57700767765075089</v>
      </c>
      <c r="K33" s="15"/>
      <c r="L33" s="15" t="e">
        <f t="shared" ref="L33:N34" si="3">L22/L12</f>
        <v>#DIV/0!</v>
      </c>
      <c r="M33" s="15" t="e">
        <f t="shared" si="3"/>
        <v>#DIV/0!</v>
      </c>
      <c r="N33" s="15" t="e">
        <f t="shared" si="3"/>
        <v>#DIV/0!</v>
      </c>
      <c r="O33" s="15"/>
      <c r="P33" s="15" t="e">
        <f t="shared" ref="P33:R34" si="4">P22/P12</f>
        <v>#DIV/0!</v>
      </c>
      <c r="Q33" s="15" t="e">
        <f t="shared" si="4"/>
        <v>#DIV/0!</v>
      </c>
      <c r="R33" s="15" t="e">
        <f t="shared" si="4"/>
        <v>#DIV/0!</v>
      </c>
      <c r="S33" s="15"/>
      <c r="T33" s="15" t="e">
        <f t="shared" ref="T33:V34" si="5">T22/T12</f>
        <v>#DIV/0!</v>
      </c>
      <c r="U33" s="15" t="e">
        <f t="shared" si="5"/>
        <v>#DIV/0!</v>
      </c>
      <c r="V33" s="15">
        <f t="shared" si="5"/>
        <v>7.1881452267718364</v>
      </c>
      <c r="W33" s="15"/>
      <c r="X33" s="15" t="e">
        <f t="shared" ref="X33:Z34" si="6">X22/X12</f>
        <v>#DIV/0!</v>
      </c>
      <c r="Y33" s="15" t="e">
        <f t="shared" si="6"/>
        <v>#DIV/0!</v>
      </c>
      <c r="Z33" s="15" t="e">
        <f t="shared" si="6"/>
        <v>#DIV/0!</v>
      </c>
      <c r="AA33" s="15"/>
      <c r="AB33" s="15">
        <f t="shared" ref="AB33:AD34" si="7">AB22/AB12</f>
        <v>23.465134706814581</v>
      </c>
      <c r="AC33" s="15">
        <f t="shared" si="7"/>
        <v>9.7459703417150223</v>
      </c>
      <c r="AD33" s="15">
        <f t="shared" si="7"/>
        <v>11.177399252181138</v>
      </c>
      <c r="AE33" s="15"/>
    </row>
    <row r="34" spans="2:37" x14ac:dyDescent="0.2">
      <c r="B34" s="45" t="s">
        <v>47</v>
      </c>
      <c r="C34" s="46"/>
      <c r="E34" s="49">
        <f>E23/E13</f>
        <v>9.659971265177339E-2</v>
      </c>
      <c r="F34" s="47">
        <f>F23/F13</f>
        <v>0.27768622207612798</v>
      </c>
      <c r="G34" s="50">
        <f>G23/G13</f>
        <v>-0.19612334678323246</v>
      </c>
      <c r="H34" s="21"/>
      <c r="I34" s="49">
        <f>F34-E34</f>
        <v>0.18108650942435459</v>
      </c>
      <c r="J34" s="47">
        <f>F34-G34</f>
        <v>0.47380956885936043</v>
      </c>
      <c r="K34" s="15"/>
      <c r="L34" s="15">
        <f t="shared" si="3"/>
        <v>-3.6485119298541438E-2</v>
      </c>
      <c r="M34" s="15">
        <f t="shared" si="3"/>
        <v>9.8182171044119554E-2</v>
      </c>
      <c r="N34" s="15">
        <f t="shared" si="3"/>
        <v>8.6069221994368866E-2</v>
      </c>
      <c r="O34" s="15"/>
      <c r="P34" s="15">
        <f t="shared" si="4"/>
        <v>3.1121020742316891E-2</v>
      </c>
      <c r="Q34" s="15">
        <f t="shared" si="4"/>
        <v>7.1372284944695968E-2</v>
      </c>
      <c r="R34" s="15">
        <f t="shared" si="4"/>
        <v>0.10087995893524969</v>
      </c>
      <c r="S34" s="15"/>
      <c r="T34" s="15">
        <f t="shared" si="5"/>
        <v>0.13645893319364349</v>
      </c>
      <c r="U34" s="15">
        <f t="shared" si="5"/>
        <v>0.14670216367609493</v>
      </c>
      <c r="V34" s="15">
        <f t="shared" si="5"/>
        <v>0.16535301041721395</v>
      </c>
      <c r="W34" s="15"/>
      <c r="X34" s="15">
        <f t="shared" si="6"/>
        <v>0.19335400428590394</v>
      </c>
      <c r="Y34" s="15">
        <f t="shared" si="6"/>
        <v>0.12671104999043725</v>
      </c>
      <c r="Z34" s="15">
        <f t="shared" si="6"/>
        <v>0.18769207292518852</v>
      </c>
      <c r="AA34" s="15"/>
      <c r="AB34" s="15">
        <f t="shared" si="7"/>
        <v>0.35800492117800314</v>
      </c>
      <c r="AC34" s="15">
        <f t="shared" si="7"/>
        <v>0.47046000608454647</v>
      </c>
      <c r="AD34" s="15">
        <f t="shared" si="7"/>
        <v>0.42169014011051337</v>
      </c>
      <c r="AE34" s="15"/>
    </row>
    <row r="35" spans="2:37" x14ac:dyDescent="0.2">
      <c r="B35" s="45" t="s">
        <v>48</v>
      </c>
      <c r="C35" s="46"/>
      <c r="E35" s="49">
        <f>E25/E13</f>
        <v>4.0594979857452744E-2</v>
      </c>
      <c r="F35" s="47">
        <f>F25/F13</f>
        <v>9.1364199697051812E-2</v>
      </c>
      <c r="G35" s="50">
        <f>G25/G13</f>
        <v>-4.0587872674288275E-2</v>
      </c>
      <c r="H35" s="21"/>
      <c r="I35" s="49">
        <f>F35-E35</f>
        <v>5.0769219839599068E-2</v>
      </c>
      <c r="J35" s="47">
        <f>F35-G35</f>
        <v>0.1319520723713401</v>
      </c>
      <c r="K35" s="15"/>
      <c r="L35" s="15">
        <f>L25/L13</f>
        <v>-5.7970098080544083E-2</v>
      </c>
      <c r="M35" s="15">
        <f>M25/M13</f>
        <v>8.2028722991331349E-3</v>
      </c>
      <c r="N35" s="15">
        <f>N25/N13</f>
        <v>-2.3981748287253472E-2</v>
      </c>
      <c r="O35" s="15"/>
      <c r="P35" s="15">
        <f>P25/P13</f>
        <v>9.2619839886517123E-3</v>
      </c>
      <c r="Q35" s="15">
        <f>Q25/Q13</f>
        <v>9.6782050547309303E-3</v>
      </c>
      <c r="R35" s="15">
        <f>R25/R13</f>
        <v>-1.8002493216983207E-2</v>
      </c>
      <c r="S35" s="15"/>
      <c r="T35" s="15">
        <f>T25/T13</f>
        <v>2.4066937611374475E-2</v>
      </c>
      <c r="U35" s="15">
        <f>U25/U13</f>
        <v>2.4326516793661542E-2</v>
      </c>
      <c r="V35" s="15">
        <f>V25/V13</f>
        <v>3.3627066200002907E-2</v>
      </c>
      <c r="W35" s="15"/>
      <c r="X35" s="15">
        <f>X25/X13</f>
        <v>1.3829625836794295E-2</v>
      </c>
      <c r="Y35" s="15">
        <f>Y25/Y13</f>
        <v>-3.0842159907468965E-2</v>
      </c>
      <c r="Z35" s="15">
        <f>Z25/Z13</f>
        <v>6.5926845913535925E-2</v>
      </c>
      <c r="AA35" s="15"/>
      <c r="AB35" s="15">
        <f>AB25/AB13</f>
        <v>4.2643023660457198E-2</v>
      </c>
      <c r="AC35" s="15">
        <f>AC25/AC13</f>
        <v>6.9972284172274107E-2</v>
      </c>
      <c r="AD35" s="15">
        <f>AD25/AD13</f>
        <v>1.8485825968817392E-2</v>
      </c>
      <c r="AE35" s="15"/>
    </row>
    <row r="36" spans="2:37" x14ac:dyDescent="0.2">
      <c r="B36" s="45" t="s">
        <v>46</v>
      </c>
      <c r="C36" s="46"/>
      <c r="E36" s="49">
        <f>(SUM(E4:E5,E7,E8)-SUM(E14:E15))/SUM(E4:E5,E7:E8)</f>
        <v>0.18158177398383177</v>
      </c>
      <c r="F36" s="47">
        <f>(SUM(F4:F5,F7,F8)-SUM(F14:F15))/SUM(F4:F5,F7:F8)</f>
        <v>0.33967344629343355</v>
      </c>
      <c r="G36" s="50">
        <f>(SUM(G4:G5,G7,G8)-SUM(G14:G15))/SUM(G4:G5,G7:G8)</f>
        <v>-0.13691966222756249</v>
      </c>
      <c r="H36" s="21"/>
      <c r="I36" s="49">
        <f>F36-E36</f>
        <v>0.15809167230960178</v>
      </c>
      <c r="J36" s="47">
        <f>F36-G36</f>
        <v>0.47659310852099601</v>
      </c>
      <c r="K36" s="15"/>
      <c r="L36" s="15">
        <f>(SUM(L4:L5,L7,L8)-SUM(L14:L15))/SUM(L4:L5,L7:L8)</f>
        <v>0.11796316079116895</v>
      </c>
      <c r="M36" s="15">
        <f>(SUM(M4:M5,M7,M8)-SUM(M14:M15))/SUM(M4:M5,M7:M8)</f>
        <v>0.22188630810626914</v>
      </c>
      <c r="N36" s="15">
        <f>(SUM(N4:N5,N7,N8)-SUM(N14:N15))/SUM(N4:N5,N7:N8)</f>
        <v>0.22753319572383623</v>
      </c>
      <c r="O36" s="15"/>
      <c r="P36" s="15">
        <f>(SUM(P4:P5,P7,P8)-SUM(P14:P15))/SUM(P4:P5,P7:P8)</f>
        <v>-9.085546988106856E-2</v>
      </c>
      <c r="Q36" s="15">
        <f>(SUM(Q4:Q5,Q7,Q8)-SUM(Q14:Q15))/SUM(Q4:Q5,Q7:Q8)</f>
        <v>-4.3197834136242383E-2</v>
      </c>
      <c r="R36" s="15">
        <f>(SUM(R4:R5,R7,R8)-SUM(R14:R15))/SUM(R4:R5,R7:R8)</f>
        <v>5.2853102163357112E-2</v>
      </c>
      <c r="S36" s="15"/>
      <c r="T36" s="15">
        <f>(SUM(T4:T5,T7,T8)-SUM(T14:T15))/SUM(T4:T5,T7:T8)</f>
        <v>0.21537944170077289</v>
      </c>
      <c r="U36" s="15">
        <f>(SUM(U4:U5,U7,U8)-SUM(U14:U15))/SUM(U4:U5,U7:U8)</f>
        <v>0.16540989238107573</v>
      </c>
      <c r="V36" s="15">
        <f>(SUM(V4:V5,V7,V8)-SUM(V14:V15))/SUM(V4:V5,V7:V8)</f>
        <v>0.17141064982858359</v>
      </c>
      <c r="W36" s="15"/>
      <c r="X36" s="15">
        <f>(SUM(X4:X5,X7,X8)-SUM(X14:X15))/SUM(X4:X5,X7:X8)</f>
        <v>0.42254369147402276</v>
      </c>
      <c r="Y36" s="15">
        <f>(SUM(Y4:Y5,Y7,Y8)-SUM(Y14:Y15))/SUM(Y4:Y5,Y7:Y8)</f>
        <v>0.17841671888810748</v>
      </c>
      <c r="Z36" s="15">
        <f>(SUM(Z4:Z5,Z7,Z8)-SUM(Z14:Z15))/SUM(Z4:Z5,Z7:Z8)</f>
        <v>0.1408714906045109</v>
      </c>
      <c r="AA36" s="15"/>
      <c r="AB36" s="15">
        <f>(SUM(AB4:AB5,AB7,AB8)-SUM(AB14:AB15))/SUM(AB4:AB5,AB7:AB8)</f>
        <v>0.41669292725985113</v>
      </c>
      <c r="AC36" s="15">
        <f>(SUM(AC4:AC5,AC7,AC8)-SUM(AC14:AC15))/SUM(AC4:AC5,AC7:AC8)</f>
        <v>0.53167547642421376</v>
      </c>
      <c r="AD36" s="15">
        <f>(SUM(AD4:AD5,AD7,AD8)-SUM(AD14:AD15))/SUM(AD4:AD5,AD7:AD8)</f>
        <v>0.54624529106546305</v>
      </c>
      <c r="AE36" s="15"/>
      <c r="AF36" t="s">
        <v>56</v>
      </c>
      <c r="AJ36" t="s">
        <v>32</v>
      </c>
      <c r="AK36" t="s">
        <v>54</v>
      </c>
    </row>
    <row r="37" spans="2:37" x14ac:dyDescent="0.2">
      <c r="E37" s="15"/>
      <c r="F37" s="15"/>
      <c r="G37" s="15"/>
      <c r="H37" s="15"/>
      <c r="I37" s="15"/>
      <c r="J37" s="15"/>
      <c r="K37" s="15"/>
      <c r="L37" s="15"/>
      <c r="M37" s="15"/>
      <c r="N37" s="15"/>
      <c r="O37" s="15"/>
      <c r="P37" s="15"/>
      <c r="Q37" s="15"/>
      <c r="R37" s="15"/>
      <c r="S37" s="15"/>
      <c r="T37" s="15"/>
      <c r="U37" s="15"/>
      <c r="V37" s="15"/>
      <c r="W37" s="15"/>
      <c r="X37" s="15"/>
      <c r="Y37" s="15"/>
      <c r="Z37" s="15"/>
      <c r="AA37" s="15"/>
      <c r="AB37" s="15"/>
      <c r="AC37" s="15"/>
      <c r="AD37" s="15"/>
      <c r="AE37" s="15"/>
      <c r="AF37" s="45" t="s">
        <v>47</v>
      </c>
      <c r="AI37" s="57"/>
      <c r="AJ37" t="s">
        <v>32</v>
      </c>
      <c r="AK37" t="s">
        <v>54</v>
      </c>
    </row>
    <row r="38" spans="2:37" x14ac:dyDescent="0.2">
      <c r="AF38" s="45" t="s">
        <v>48</v>
      </c>
    </row>
    <row r="39" spans="2:37" x14ac:dyDescent="0.2">
      <c r="B39" s="56" t="s">
        <v>52</v>
      </c>
      <c r="AF39" s="45" t="s">
        <v>46</v>
      </c>
    </row>
    <row r="40" spans="2:37" x14ac:dyDescent="0.2">
      <c r="E40" s="1" t="str">
        <f>E3</f>
        <v>Budget FY 25</v>
      </c>
      <c r="F40" s="1" t="str">
        <f>F3</f>
        <v>Actual FY 25</v>
      </c>
      <c r="G40" s="1" t="str">
        <f>G3</f>
        <v>Actual FY 24</v>
      </c>
      <c r="L40" s="1" t="str">
        <f>L3</f>
        <v>Budget FY 25</v>
      </c>
      <c r="M40" s="1" t="str">
        <f>M3</f>
        <v>Actual FY 25</v>
      </c>
      <c r="N40" s="1" t="str">
        <f>N3</f>
        <v>Actual FY 24</v>
      </c>
      <c r="P40" s="1" t="str">
        <f>P3</f>
        <v>Budget FY 25</v>
      </c>
      <c r="Q40" s="1" t="str">
        <f>Q3</f>
        <v>Actual FY 25</v>
      </c>
      <c r="R40" s="1" t="str">
        <f>R3</f>
        <v>Actual FY 24</v>
      </c>
      <c r="T40" s="1" t="str">
        <f>T3</f>
        <v>Budget FY 25</v>
      </c>
      <c r="U40" s="1" t="str">
        <f>U3</f>
        <v>Actual FY 25</v>
      </c>
      <c r="V40" s="1" t="str">
        <f>V3</f>
        <v>Actual FY 24</v>
      </c>
      <c r="X40" s="1" t="str">
        <f>X3</f>
        <v>Budget FY 25</v>
      </c>
      <c r="Y40" s="1" t="str">
        <f>Y3</f>
        <v>Actual FY 25</v>
      </c>
      <c r="Z40" s="1" t="str">
        <f>Z3</f>
        <v>Actual FY 24</v>
      </c>
      <c r="AB40" s="1" t="str">
        <f>AB3</f>
        <v>Budget FY 25</v>
      </c>
      <c r="AC40" s="1" t="str">
        <f>AC3</f>
        <v>Actual FY 25</v>
      </c>
      <c r="AD40" s="1" t="str">
        <f>AD3</f>
        <v>Actual FY 24</v>
      </c>
    </row>
    <row r="41" spans="2:37" x14ac:dyDescent="0.2">
      <c r="B41" t="s">
        <v>53</v>
      </c>
      <c r="E41" s="1">
        <f>E23</f>
        <v>17145</v>
      </c>
      <c r="F41" s="1">
        <f>F23</f>
        <v>62513</v>
      </c>
      <c r="G41" s="1">
        <f>G23</f>
        <v>-27997</v>
      </c>
      <c r="L41" s="1">
        <f>L23</f>
        <v>-5193</v>
      </c>
      <c r="M41" s="1">
        <f>M23</f>
        <v>15177</v>
      </c>
      <c r="N41" s="1">
        <f>N23</f>
        <v>13053</v>
      </c>
      <c r="P41" s="1">
        <f>P23</f>
        <v>4124.5</v>
      </c>
      <c r="Q41" s="1">
        <f>Q23</f>
        <v>9963</v>
      </c>
      <c r="R41" s="1">
        <f>R23</f>
        <v>13757</v>
      </c>
      <c r="T41" s="1">
        <f>T23</f>
        <v>115401</v>
      </c>
      <c r="U41" s="1">
        <f>U23</f>
        <v>133462</v>
      </c>
      <c r="V41" s="1">
        <f>V23</f>
        <v>147921</v>
      </c>
      <c r="X41" s="1">
        <f>X23</f>
        <v>81566</v>
      </c>
      <c r="Y41" s="1">
        <f>Y23</f>
        <v>55652</v>
      </c>
      <c r="Z41" s="1">
        <f>Z23</f>
        <v>88558</v>
      </c>
      <c r="AB41" s="1">
        <f>AB23</f>
        <v>116251</v>
      </c>
      <c r="AC41" s="1">
        <f>AC23</f>
        <v>196394</v>
      </c>
      <c r="AD41" s="1">
        <f>AD23</f>
        <v>161711</v>
      </c>
    </row>
    <row r="42" spans="2:37" x14ac:dyDescent="0.2">
      <c r="B42" t="s">
        <v>40</v>
      </c>
      <c r="E42" s="1">
        <f>SUM(E20,E22)</f>
        <v>160340</v>
      </c>
      <c r="F42" s="1">
        <f>SUM(F20,F22)</f>
        <v>162608</v>
      </c>
      <c r="G42" s="1">
        <f>SUM(G20,G22)</f>
        <v>170749</v>
      </c>
      <c r="L42" s="1">
        <f>SUM(L20,L22)</f>
        <v>147525</v>
      </c>
      <c r="M42" s="1">
        <f>SUM(M20,M22)</f>
        <v>139403</v>
      </c>
      <c r="N42" s="1">
        <f>SUM(N20,N22)</f>
        <v>138604</v>
      </c>
      <c r="P42" s="1">
        <f>SUM(P20,P22)</f>
        <v>128406.5</v>
      </c>
      <c r="Q42" s="1">
        <f>SUM(Q20,Q22)</f>
        <v>129629</v>
      </c>
      <c r="R42" s="1">
        <f>SUM(R20,R22)</f>
        <v>122613</v>
      </c>
      <c r="T42" s="1">
        <f>SUM(T20,T22)</f>
        <v>730282</v>
      </c>
      <c r="U42" s="1">
        <f>SUM(U20,U22)</f>
        <v>776286</v>
      </c>
      <c r="V42" s="1">
        <f>SUM(V20,V22)</f>
        <v>746656</v>
      </c>
      <c r="X42" s="1">
        <f>SUM(X20,X22)</f>
        <v>340282</v>
      </c>
      <c r="Y42" s="1">
        <f>SUM(Y20,Y22)</f>
        <v>383552</v>
      </c>
      <c r="Z42" s="1">
        <f>SUM(Z20,Z22)</f>
        <v>383268</v>
      </c>
      <c r="AB42" s="1">
        <f>SUM(AB20,AB22)</f>
        <v>208468</v>
      </c>
      <c r="AC42" s="1">
        <f>SUM(AC20,AC22)</f>
        <v>221057</v>
      </c>
      <c r="AD42" s="1">
        <f>SUM(AD20,AD22)</f>
        <v>221772</v>
      </c>
    </row>
    <row r="43" spans="2:37" x14ac:dyDescent="0.2">
      <c r="B43" t="s">
        <v>47</v>
      </c>
      <c r="E43" s="15">
        <f t="shared" ref="E43:G45" si="8">E34</f>
        <v>9.659971265177339E-2</v>
      </c>
      <c r="F43" s="15">
        <f t="shared" si="8"/>
        <v>0.27768622207612798</v>
      </c>
      <c r="G43" s="15">
        <f t="shared" si="8"/>
        <v>-0.19612334678323246</v>
      </c>
      <c r="L43" s="15">
        <f t="shared" ref="L43:N43" si="9">L34</f>
        <v>-3.6485119298541438E-2</v>
      </c>
      <c r="M43" s="15">
        <f t="shared" si="9"/>
        <v>9.8182171044119554E-2</v>
      </c>
      <c r="N43" s="15">
        <f t="shared" si="9"/>
        <v>8.6069221994368866E-2</v>
      </c>
      <c r="P43" s="15">
        <f t="shared" ref="P43:R43" si="10">P34</f>
        <v>3.1121020742316891E-2</v>
      </c>
      <c r="Q43" s="15">
        <f t="shared" si="10"/>
        <v>7.1372284944695968E-2</v>
      </c>
      <c r="R43" s="15">
        <f t="shared" si="10"/>
        <v>0.10087995893524969</v>
      </c>
      <c r="T43" s="15">
        <f t="shared" ref="T43:V43" si="11">T34</f>
        <v>0.13645893319364349</v>
      </c>
      <c r="U43" s="15">
        <f t="shared" si="11"/>
        <v>0.14670216367609493</v>
      </c>
      <c r="V43" s="15">
        <f t="shared" si="11"/>
        <v>0.16535301041721395</v>
      </c>
      <c r="X43" s="15">
        <f t="shared" ref="X43:Z43" si="12">X34</f>
        <v>0.19335400428590394</v>
      </c>
      <c r="Y43" s="15">
        <f t="shared" si="12"/>
        <v>0.12671104999043725</v>
      </c>
      <c r="Z43" s="15">
        <f t="shared" si="12"/>
        <v>0.18769207292518852</v>
      </c>
      <c r="AB43" s="15">
        <f t="shared" ref="AB43:AD43" si="13">AB34</f>
        <v>0.35800492117800314</v>
      </c>
      <c r="AC43" s="15">
        <f t="shared" si="13"/>
        <v>0.47046000608454647</v>
      </c>
      <c r="AD43" s="15">
        <f t="shared" si="13"/>
        <v>0.42169014011051337</v>
      </c>
    </row>
    <row r="44" spans="2:37" x14ac:dyDescent="0.2">
      <c r="B44" t="s">
        <v>48</v>
      </c>
      <c r="E44" s="15">
        <f t="shared" si="8"/>
        <v>4.0594979857452744E-2</v>
      </c>
      <c r="F44" s="15">
        <f t="shared" si="8"/>
        <v>9.1364199697051812E-2</v>
      </c>
      <c r="G44" s="15">
        <f t="shared" si="8"/>
        <v>-4.0587872674288275E-2</v>
      </c>
      <c r="L44" s="15">
        <f t="shared" ref="L44:N44" si="14">L35</f>
        <v>-5.7970098080544083E-2</v>
      </c>
      <c r="M44" s="15">
        <f t="shared" si="14"/>
        <v>8.2028722991331349E-3</v>
      </c>
      <c r="N44" s="15">
        <f t="shared" si="14"/>
        <v>-2.3981748287253472E-2</v>
      </c>
      <c r="P44" s="15">
        <f t="shared" ref="P44:R44" si="15">P35</f>
        <v>9.2619839886517123E-3</v>
      </c>
      <c r="Q44" s="15">
        <f t="shared" si="15"/>
        <v>9.6782050547309303E-3</v>
      </c>
      <c r="R44" s="15">
        <f t="shared" si="15"/>
        <v>-1.8002493216983207E-2</v>
      </c>
      <c r="T44" s="15">
        <f t="shared" ref="T44:V44" si="16">T35</f>
        <v>2.4066937611374475E-2</v>
      </c>
      <c r="U44" s="15">
        <f t="shared" si="16"/>
        <v>2.4326516793661542E-2</v>
      </c>
      <c r="V44" s="15">
        <f t="shared" si="16"/>
        <v>3.3627066200002907E-2</v>
      </c>
      <c r="X44" s="15">
        <f t="shared" ref="X44:Z44" si="17">X35</f>
        <v>1.3829625836794295E-2</v>
      </c>
      <c r="Y44" s="15">
        <f t="shared" si="17"/>
        <v>-3.0842159907468965E-2</v>
      </c>
      <c r="Z44" s="15">
        <f t="shared" si="17"/>
        <v>6.5926845913535925E-2</v>
      </c>
      <c r="AB44" s="15">
        <f t="shared" ref="AB44:AD44" si="18">AB35</f>
        <v>4.2643023660457198E-2</v>
      </c>
      <c r="AC44" s="15">
        <f t="shared" si="18"/>
        <v>6.9972284172274107E-2</v>
      </c>
      <c r="AD44" s="15">
        <f t="shared" si="18"/>
        <v>1.8485825968817392E-2</v>
      </c>
    </row>
    <row r="45" spans="2:37" x14ac:dyDescent="0.2">
      <c r="B45" t="s">
        <v>46</v>
      </c>
      <c r="E45" s="15">
        <f t="shared" si="8"/>
        <v>0.18158177398383177</v>
      </c>
      <c r="F45" s="15">
        <f t="shared" si="8"/>
        <v>0.33967344629343355</v>
      </c>
      <c r="G45" s="15">
        <f t="shared" si="8"/>
        <v>-0.13691966222756249</v>
      </c>
      <c r="L45" s="15">
        <f t="shared" ref="L45:N45" si="19">L36</f>
        <v>0.11796316079116895</v>
      </c>
      <c r="M45" s="15">
        <f t="shared" si="19"/>
        <v>0.22188630810626914</v>
      </c>
      <c r="N45" s="15">
        <f t="shared" si="19"/>
        <v>0.22753319572383623</v>
      </c>
      <c r="P45" s="15">
        <f t="shared" ref="P45:R45" si="20">P36</f>
        <v>-9.085546988106856E-2</v>
      </c>
      <c r="Q45" s="15">
        <f t="shared" si="20"/>
        <v>-4.3197834136242383E-2</v>
      </c>
      <c r="R45" s="15">
        <f t="shared" si="20"/>
        <v>5.2853102163357112E-2</v>
      </c>
      <c r="T45" s="15">
        <f t="shared" ref="T45:V45" si="21">T36</f>
        <v>0.21537944170077289</v>
      </c>
      <c r="U45" s="15">
        <f t="shared" si="21"/>
        <v>0.16540989238107573</v>
      </c>
      <c r="V45" s="15">
        <f t="shared" si="21"/>
        <v>0.17141064982858359</v>
      </c>
      <c r="X45" s="15">
        <f t="shared" ref="X45:Z45" si="22">X36</f>
        <v>0.42254369147402276</v>
      </c>
      <c r="Y45" s="15">
        <f t="shared" si="22"/>
        <v>0.17841671888810748</v>
      </c>
      <c r="Z45" s="15">
        <f t="shared" si="22"/>
        <v>0.1408714906045109</v>
      </c>
      <c r="AB45" s="15">
        <f t="shared" ref="AB45:AD45" si="23">AB36</f>
        <v>0.41669292725985113</v>
      </c>
      <c r="AC45" s="15">
        <f t="shared" si="23"/>
        <v>0.53167547642421376</v>
      </c>
      <c r="AD45" s="15">
        <f t="shared" si="23"/>
        <v>0.54624529106546305</v>
      </c>
    </row>
  </sheetData>
  <mergeCells count="1">
    <mergeCell ref="E2:J2"/>
  </mergeCells>
  <phoneticPr fontId="6" type="noConversion"/>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E2D2F7-4D47-6646-A35D-F04122425482}">
  <sheetPr>
    <tabColor theme="4"/>
  </sheetPr>
  <dimension ref="B1:H41"/>
  <sheetViews>
    <sheetView showGridLines="0" zoomScale="90" zoomScaleNormal="90" workbookViewId="0"/>
  </sheetViews>
  <sheetFormatPr baseColWidth="10" defaultColWidth="11" defaultRowHeight="15" x14ac:dyDescent="0.2"/>
  <cols>
    <col min="2" max="2" width="68.1640625" customWidth="1"/>
    <col min="3" max="3" width="43" hidden="1" customWidth="1"/>
    <col min="4" max="8" width="15.6640625" customWidth="1"/>
  </cols>
  <sheetData>
    <row r="1" spans="2:8" ht="61" customHeight="1" x14ac:dyDescent="0.2"/>
    <row r="3" spans="2:8" ht="16" x14ac:dyDescent="0.2">
      <c r="B3" s="63" t="s">
        <v>19</v>
      </c>
      <c r="C3" s="64" t="s">
        <v>35</v>
      </c>
      <c r="D3" s="95" t="s">
        <v>18</v>
      </c>
      <c r="E3" s="95" t="s">
        <v>16</v>
      </c>
      <c r="F3" s="95" t="s">
        <v>17</v>
      </c>
      <c r="G3" s="96" t="s">
        <v>32</v>
      </c>
      <c r="H3" s="97" t="s">
        <v>33</v>
      </c>
    </row>
    <row r="4" spans="2:8" ht="16" x14ac:dyDescent="0.2">
      <c r="B4" s="65" t="s">
        <v>0</v>
      </c>
      <c r="C4" s="66" t="s">
        <v>36</v>
      </c>
      <c r="D4" s="67">
        <v>419230</v>
      </c>
      <c r="E4" s="67">
        <v>420955</v>
      </c>
      <c r="F4" s="67">
        <v>397592</v>
      </c>
      <c r="G4" s="67">
        <f>E4-D4</f>
        <v>1725</v>
      </c>
      <c r="H4" s="68">
        <f t="shared" ref="H4:H25" si="0">IF(F4=0,0,(E4/F4-1))</f>
        <v>5.8761242680939185E-2</v>
      </c>
    </row>
    <row r="5" spans="2:8" ht="16" x14ac:dyDescent="0.2">
      <c r="B5" s="65" t="s">
        <v>1</v>
      </c>
      <c r="C5" s="66" t="s">
        <v>36</v>
      </c>
      <c r="D5" s="67">
        <v>149206</v>
      </c>
      <c r="E5" s="67">
        <v>162346</v>
      </c>
      <c r="F5" s="67">
        <v>163152</v>
      </c>
      <c r="G5" s="67">
        <f t="shared" ref="G5:G11" si="1">E5-D5</f>
        <v>13140</v>
      </c>
      <c r="H5" s="68">
        <f t="shared" si="0"/>
        <v>-4.940178483867852E-3</v>
      </c>
    </row>
    <row r="6" spans="2:8" ht="16" x14ac:dyDescent="0.2">
      <c r="B6" s="65" t="s">
        <v>2</v>
      </c>
      <c r="C6" s="66" t="s">
        <v>37</v>
      </c>
      <c r="D6" s="67">
        <v>42362</v>
      </c>
      <c r="E6" s="67">
        <v>50103</v>
      </c>
      <c r="F6" s="67">
        <v>41915</v>
      </c>
      <c r="G6" s="67">
        <f t="shared" si="1"/>
        <v>7741</v>
      </c>
      <c r="H6" s="68">
        <f t="shared" si="0"/>
        <v>0.19534772754383867</v>
      </c>
    </row>
    <row r="7" spans="2:8" ht="16" x14ac:dyDescent="0.2">
      <c r="B7" s="65" t="s">
        <v>3</v>
      </c>
      <c r="C7" s="66" t="s">
        <v>36</v>
      </c>
      <c r="D7" s="67">
        <v>17477</v>
      </c>
      <c r="E7" s="67">
        <v>15652</v>
      </c>
      <c r="F7" s="67">
        <v>16508</v>
      </c>
      <c r="G7" s="67">
        <f t="shared" si="1"/>
        <v>-1825</v>
      </c>
      <c r="H7" s="68">
        <f t="shared" si="0"/>
        <v>-5.1853646716743418E-2</v>
      </c>
    </row>
    <row r="8" spans="2:8" ht="16" x14ac:dyDescent="0.2">
      <c r="B8" s="65" t="s">
        <v>4</v>
      </c>
      <c r="C8" s="66" t="s">
        <v>36</v>
      </c>
      <c r="D8" s="67">
        <v>95048</v>
      </c>
      <c r="E8" s="67">
        <v>111331</v>
      </c>
      <c r="F8" s="67">
        <v>117839</v>
      </c>
      <c r="G8" s="67">
        <f t="shared" si="1"/>
        <v>16283</v>
      </c>
      <c r="H8" s="68">
        <f t="shared" si="0"/>
        <v>-5.5227895688184758E-2</v>
      </c>
    </row>
    <row r="9" spans="2:8" ht="16" x14ac:dyDescent="0.2">
      <c r="B9" s="65" t="s">
        <v>5</v>
      </c>
      <c r="C9" s="66" t="s">
        <v>37</v>
      </c>
      <c r="D9" s="67">
        <v>34285</v>
      </c>
      <c r="E9" s="67">
        <v>39676</v>
      </c>
      <c r="F9" s="67">
        <v>39591</v>
      </c>
      <c r="G9" s="67">
        <f t="shared" si="1"/>
        <v>5391</v>
      </c>
      <c r="H9" s="68">
        <f t="shared" si="0"/>
        <v>2.1469525902351183E-3</v>
      </c>
    </row>
    <row r="10" spans="2:8" ht="16" x14ac:dyDescent="0.2">
      <c r="B10" s="65" t="s">
        <v>6</v>
      </c>
      <c r="C10" s="66" t="s">
        <v>37</v>
      </c>
      <c r="D10" s="67">
        <v>88075</v>
      </c>
      <c r="E10" s="67">
        <v>109685</v>
      </c>
      <c r="F10" s="67">
        <v>100738</v>
      </c>
      <c r="G10" s="67">
        <f t="shared" si="1"/>
        <v>21610</v>
      </c>
      <c r="H10" s="68">
        <f t="shared" si="0"/>
        <v>8.8814548631102497E-2</v>
      </c>
    </row>
    <row r="11" spans="2:8" ht="16" x14ac:dyDescent="0.2">
      <c r="B11" s="65" t="s">
        <v>27</v>
      </c>
      <c r="C11" s="66" t="s">
        <v>37</v>
      </c>
      <c r="D11" s="67">
        <v>0</v>
      </c>
      <c r="E11" s="67">
        <v>0</v>
      </c>
      <c r="F11" s="67">
        <v>0</v>
      </c>
      <c r="G11" s="67">
        <f t="shared" si="1"/>
        <v>0</v>
      </c>
      <c r="H11" s="68">
        <f t="shared" si="0"/>
        <v>0</v>
      </c>
    </row>
    <row r="12" spans="2:8" ht="16" x14ac:dyDescent="0.2">
      <c r="B12" s="65" t="s">
        <v>29</v>
      </c>
      <c r="C12" s="66" t="s">
        <v>37</v>
      </c>
      <c r="D12" s="67">
        <v>0</v>
      </c>
      <c r="E12" s="67">
        <v>0</v>
      </c>
      <c r="F12" s="67">
        <v>17242</v>
      </c>
      <c r="G12" s="67"/>
      <c r="H12" s="68">
        <f t="shared" si="0"/>
        <v>-1</v>
      </c>
    </row>
    <row r="13" spans="2:8" ht="16" x14ac:dyDescent="0.2">
      <c r="B13" s="69" t="s">
        <v>7</v>
      </c>
      <c r="C13" s="70" t="s">
        <v>38</v>
      </c>
      <c r="D13" s="71">
        <v>845683</v>
      </c>
      <c r="E13" s="71">
        <v>909748</v>
      </c>
      <c r="F13" s="71">
        <v>894577</v>
      </c>
      <c r="G13" s="98">
        <f>SUM(G4:G12)</f>
        <v>64065</v>
      </c>
      <c r="H13" s="99">
        <f t="shared" si="0"/>
        <v>1.6958853178653088E-2</v>
      </c>
    </row>
    <row r="14" spans="2:8" ht="16" x14ac:dyDescent="0.2">
      <c r="B14" s="65" t="s">
        <v>8</v>
      </c>
      <c r="C14" s="66" t="s">
        <v>41</v>
      </c>
      <c r="D14" s="67">
        <v>289337</v>
      </c>
      <c r="E14" s="67">
        <v>306623</v>
      </c>
      <c r="F14" s="67">
        <v>276897</v>
      </c>
      <c r="G14" s="67">
        <f t="shared" ref="G14:G19" si="2">E14-D14</f>
        <v>17286</v>
      </c>
      <c r="H14" s="68">
        <f t="shared" si="0"/>
        <v>0.10735399805703927</v>
      </c>
    </row>
    <row r="15" spans="2:8" ht="16" x14ac:dyDescent="0.2">
      <c r="B15" s="65" t="s">
        <v>9</v>
      </c>
      <c r="C15" s="66" t="s">
        <v>41</v>
      </c>
      <c r="D15" s="67">
        <v>244959</v>
      </c>
      <c r="E15" s="67">
        <v>286173</v>
      </c>
      <c r="F15" s="67">
        <v>299048</v>
      </c>
      <c r="G15" s="67">
        <f t="shared" si="2"/>
        <v>41214</v>
      </c>
      <c r="H15" s="68">
        <f t="shared" si="0"/>
        <v>-4.3053289104090342E-2</v>
      </c>
    </row>
    <row r="16" spans="2:8" ht="16" x14ac:dyDescent="0.2">
      <c r="B16" s="65" t="s">
        <v>10</v>
      </c>
      <c r="C16" s="66" t="s">
        <v>39</v>
      </c>
      <c r="D16" s="67">
        <v>0</v>
      </c>
      <c r="E16" s="67">
        <v>211</v>
      </c>
      <c r="F16" s="67">
        <v>216</v>
      </c>
      <c r="G16" s="67">
        <f t="shared" si="2"/>
        <v>211</v>
      </c>
      <c r="H16" s="68">
        <f t="shared" si="0"/>
        <v>-2.314814814814814E-2</v>
      </c>
    </row>
    <row r="17" spans="2:8" ht="16" x14ac:dyDescent="0.2">
      <c r="B17" s="65" t="s">
        <v>11</v>
      </c>
      <c r="C17" s="66" t="s">
        <v>39</v>
      </c>
      <c r="D17" s="67">
        <v>69197</v>
      </c>
      <c r="E17" s="67">
        <v>46497</v>
      </c>
      <c r="F17" s="67">
        <v>46557</v>
      </c>
      <c r="G17" s="67">
        <f t="shared" si="2"/>
        <v>-22700</v>
      </c>
      <c r="H17" s="68">
        <f t="shared" si="0"/>
        <v>-1.2887428313680394E-3</v>
      </c>
    </row>
    <row r="18" spans="2:8" ht="16" x14ac:dyDescent="0.2">
      <c r="B18" s="65" t="s">
        <v>12</v>
      </c>
      <c r="C18" s="66" t="s">
        <v>39</v>
      </c>
      <c r="D18" s="67">
        <v>0</v>
      </c>
      <c r="E18" s="67">
        <v>6568</v>
      </c>
      <c r="F18" s="67"/>
      <c r="G18" s="67">
        <f t="shared" si="2"/>
        <v>6568</v>
      </c>
      <c r="H18" s="68">
        <f t="shared" si="0"/>
        <v>0</v>
      </c>
    </row>
    <row r="19" spans="2:8" ht="34" x14ac:dyDescent="0.2">
      <c r="B19" s="72" t="s">
        <v>25</v>
      </c>
      <c r="C19" s="66" t="s">
        <v>39</v>
      </c>
      <c r="D19" s="67">
        <v>0</v>
      </c>
      <c r="E19" s="67">
        <v>0</v>
      </c>
      <c r="F19" s="67"/>
      <c r="G19" s="67">
        <f t="shared" si="2"/>
        <v>0</v>
      </c>
      <c r="H19" s="68">
        <f t="shared" si="0"/>
        <v>0</v>
      </c>
    </row>
    <row r="20" spans="2:8" ht="34" x14ac:dyDescent="0.2">
      <c r="B20" s="73" t="s">
        <v>21</v>
      </c>
      <c r="C20" s="74" t="s">
        <v>40</v>
      </c>
      <c r="D20" s="75">
        <v>603493</v>
      </c>
      <c r="E20" s="75">
        <v>646072</v>
      </c>
      <c r="F20" s="75">
        <v>622718</v>
      </c>
      <c r="G20" s="100">
        <f>SUM(G14:G19)</f>
        <v>42579</v>
      </c>
      <c r="H20" s="101">
        <f t="shared" si="0"/>
        <v>3.7503332166406E-2</v>
      </c>
    </row>
    <row r="21" spans="2:8" ht="34" x14ac:dyDescent="0.2">
      <c r="B21" s="73" t="s">
        <v>20</v>
      </c>
      <c r="C21" s="74" t="s">
        <v>42</v>
      </c>
      <c r="D21" s="75">
        <v>242190</v>
      </c>
      <c r="E21" s="75">
        <v>263676</v>
      </c>
      <c r="F21" s="75">
        <v>271859</v>
      </c>
      <c r="G21" s="100">
        <f>G13-G20</f>
        <v>21486</v>
      </c>
      <c r="H21" s="101">
        <f t="shared" si="0"/>
        <v>-3.0100162216443072E-2</v>
      </c>
    </row>
    <row r="22" spans="2:8" ht="16" x14ac:dyDescent="0.2">
      <c r="B22" s="65" t="s">
        <v>13</v>
      </c>
      <c r="C22" s="66" t="s">
        <v>43</v>
      </c>
      <c r="D22" s="67">
        <v>126789</v>
      </c>
      <c r="E22" s="67">
        <v>130214</v>
      </c>
      <c r="F22" s="67">
        <v>123938</v>
      </c>
      <c r="G22" s="67">
        <f>E22-D22</f>
        <v>3425</v>
      </c>
      <c r="H22" s="68">
        <f t="shared" si="0"/>
        <v>5.0638222336975014E-2</v>
      </c>
    </row>
    <row r="23" spans="2:8" ht="17" x14ac:dyDescent="0.2">
      <c r="B23" s="76" t="s">
        <v>14</v>
      </c>
      <c r="C23" s="77" t="s">
        <v>44</v>
      </c>
      <c r="D23" s="78">
        <v>115401</v>
      </c>
      <c r="E23" s="78">
        <v>133462</v>
      </c>
      <c r="F23" s="78">
        <v>147921</v>
      </c>
      <c r="G23" s="102">
        <f>G21-G22</f>
        <v>18061</v>
      </c>
      <c r="H23" s="103">
        <f t="shared" si="0"/>
        <v>-9.7748122308529584E-2</v>
      </c>
    </row>
    <row r="24" spans="2:8" ht="16" x14ac:dyDescent="0.2">
      <c r="B24" s="79" t="s">
        <v>15</v>
      </c>
      <c r="C24" s="66" t="s">
        <v>44</v>
      </c>
      <c r="D24" s="80">
        <v>115401</v>
      </c>
      <c r="E24" s="80">
        <v>133462</v>
      </c>
      <c r="F24" s="80">
        <v>147921</v>
      </c>
      <c r="G24" s="80">
        <f>G23</f>
        <v>18061</v>
      </c>
      <c r="H24" s="81">
        <f t="shared" si="0"/>
        <v>-9.7748122308529584E-2</v>
      </c>
    </row>
    <row r="25" spans="2:8" ht="34" x14ac:dyDescent="0.2">
      <c r="B25" s="76" t="s">
        <v>22</v>
      </c>
      <c r="C25" s="77" t="s">
        <v>45</v>
      </c>
      <c r="D25" s="78">
        <v>20353</v>
      </c>
      <c r="E25" s="78">
        <v>22131</v>
      </c>
      <c r="F25" s="78">
        <v>30082</v>
      </c>
      <c r="G25" s="102">
        <f>G24-G8</f>
        <v>1778</v>
      </c>
      <c r="H25" s="103">
        <f t="shared" si="0"/>
        <v>-0.26431088358486798</v>
      </c>
    </row>
    <row r="26" spans="2:8" ht="16" x14ac:dyDescent="0.2">
      <c r="B26" s="82"/>
      <c r="C26" s="83"/>
      <c r="D26" s="84"/>
      <c r="E26" s="84"/>
      <c r="F26" s="84"/>
      <c r="G26" s="84"/>
      <c r="H26" s="85"/>
    </row>
    <row r="27" spans="2:8" ht="16" x14ac:dyDescent="0.2">
      <c r="B27" s="86" t="s">
        <v>34</v>
      </c>
      <c r="C27" s="87"/>
      <c r="D27" s="88"/>
      <c r="E27" s="88"/>
      <c r="F27" s="88"/>
      <c r="G27" s="88"/>
      <c r="H27" s="88"/>
    </row>
    <row r="28" spans="2:8" ht="16" x14ac:dyDescent="0.2">
      <c r="B28" s="89" t="s">
        <v>55</v>
      </c>
      <c r="C28" s="90"/>
      <c r="D28" s="91">
        <v>845683</v>
      </c>
      <c r="E28" s="91">
        <v>909748</v>
      </c>
      <c r="F28" s="91">
        <v>894577</v>
      </c>
      <c r="G28" s="91">
        <f>SUM(G24:G27)</f>
        <v>19839</v>
      </c>
      <c r="H28" s="92">
        <f t="shared" ref="H28" si="3">E28/F28-1</f>
        <v>1.6958853178653088E-2</v>
      </c>
    </row>
    <row r="29" spans="2:8" ht="16" x14ac:dyDescent="0.2">
      <c r="B29" s="89" t="s">
        <v>47</v>
      </c>
      <c r="C29" s="90"/>
      <c r="D29" s="93">
        <v>0.13645893319364349</v>
      </c>
      <c r="E29" s="93">
        <v>0.14670216367609493</v>
      </c>
      <c r="F29" s="93">
        <v>0.16535301041721395</v>
      </c>
      <c r="G29" s="93">
        <f>E29-D29</f>
        <v>1.0243230482451432E-2</v>
      </c>
      <c r="H29" s="94">
        <f>E29-F29</f>
        <v>-1.8650846741119026E-2</v>
      </c>
    </row>
    <row r="30" spans="2:8" ht="16" x14ac:dyDescent="0.2">
      <c r="B30" s="89" t="s">
        <v>48</v>
      </c>
      <c r="C30" s="90"/>
      <c r="D30" s="93">
        <v>2.4066937611374475E-2</v>
      </c>
      <c r="E30" s="93">
        <v>2.4326516793661542E-2</v>
      </c>
      <c r="F30" s="93">
        <v>3.3627066200002907E-2</v>
      </c>
      <c r="G30" s="93">
        <f>E30-D30</f>
        <v>2.5957918228706675E-4</v>
      </c>
      <c r="H30" s="94">
        <f>E30-F30</f>
        <v>-9.300549406341365E-3</v>
      </c>
    </row>
    <row r="31" spans="2:8" ht="16" x14ac:dyDescent="0.2">
      <c r="B31" s="89" t="s">
        <v>46</v>
      </c>
      <c r="C31" s="90"/>
      <c r="D31" s="93">
        <v>0.21537944170077289</v>
      </c>
      <c r="E31" s="93">
        <v>0.16540989238107573</v>
      </c>
      <c r="F31" s="93">
        <v>0.17141064982858359</v>
      </c>
      <c r="G31" s="93">
        <f>E31-D31</f>
        <v>-4.996954931969716E-2</v>
      </c>
      <c r="H31" s="94">
        <f>E31-F31</f>
        <v>-6.0007574475078596E-3</v>
      </c>
    </row>
    <row r="32" spans="2:8" ht="16" customHeight="1" x14ac:dyDescent="0.2">
      <c r="D32" s="15"/>
      <c r="E32" s="15"/>
      <c r="F32" s="15"/>
      <c r="G32" s="15"/>
      <c r="H32" s="15"/>
    </row>
    <row r="33" spans="2:8" x14ac:dyDescent="0.2">
      <c r="D33" s="1"/>
      <c r="E33" s="1"/>
      <c r="F33" s="1"/>
      <c r="G33" s="1"/>
      <c r="H33" s="1"/>
    </row>
    <row r="34" spans="2:8" x14ac:dyDescent="0.2">
      <c r="B34" s="62" t="s">
        <v>52</v>
      </c>
      <c r="D34" s="20"/>
      <c r="E34" s="20"/>
      <c r="F34" s="20"/>
      <c r="G34" s="1"/>
      <c r="H34" s="1"/>
    </row>
    <row r="35" spans="2:8" x14ac:dyDescent="0.2">
      <c r="D35" s="20" t="str">
        <f>D3</f>
        <v>Budget FY 25</v>
      </c>
      <c r="E35" s="20" t="str">
        <f>E3</f>
        <v>Actual FY 25</v>
      </c>
      <c r="F35" s="20" t="str">
        <f>F3</f>
        <v>Actual FY 24</v>
      </c>
      <c r="G35" s="1"/>
      <c r="H35" s="1"/>
    </row>
    <row r="36" spans="2:8" x14ac:dyDescent="0.2">
      <c r="B36" t="s">
        <v>53</v>
      </c>
      <c r="D36" s="20">
        <f>D23</f>
        <v>115401</v>
      </c>
      <c r="E36" s="20">
        <f>E23</f>
        <v>133462</v>
      </c>
      <c r="F36" s="20">
        <f>F23</f>
        <v>147921</v>
      </c>
      <c r="G36" s="1"/>
      <c r="H36" s="1"/>
    </row>
    <row r="37" spans="2:8" x14ac:dyDescent="0.2">
      <c r="B37" t="s">
        <v>40</v>
      </c>
      <c r="D37" s="20">
        <f>SUM(D20,D22)</f>
        <v>730282</v>
      </c>
      <c r="E37" s="20">
        <f>SUM(E20,E22)</f>
        <v>776286</v>
      </c>
      <c r="F37" s="20">
        <f>SUM(F20,F22)</f>
        <v>746656</v>
      </c>
      <c r="G37" s="1"/>
      <c r="H37" s="1"/>
    </row>
    <row r="38" spans="2:8" x14ac:dyDescent="0.2">
      <c r="B38" t="s">
        <v>47</v>
      </c>
      <c r="D38" s="21">
        <f t="shared" ref="D38:F40" si="4">D29</f>
        <v>0.13645893319364349</v>
      </c>
      <c r="E38" s="21">
        <f t="shared" si="4"/>
        <v>0.14670216367609493</v>
      </c>
      <c r="F38" s="21">
        <f t="shared" si="4"/>
        <v>0.16535301041721395</v>
      </c>
      <c r="G38" s="1"/>
      <c r="H38" s="1"/>
    </row>
    <row r="39" spans="2:8" x14ac:dyDescent="0.2">
      <c r="B39" t="s">
        <v>48</v>
      </c>
      <c r="D39" s="21">
        <f t="shared" si="4"/>
        <v>2.4066937611374475E-2</v>
      </c>
      <c r="E39" s="21">
        <f t="shared" si="4"/>
        <v>2.4326516793661542E-2</v>
      </c>
      <c r="F39" s="21">
        <f t="shared" si="4"/>
        <v>3.3627066200002907E-2</v>
      </c>
      <c r="G39" s="1"/>
      <c r="H39" s="1"/>
    </row>
    <row r="40" spans="2:8" x14ac:dyDescent="0.2">
      <c r="B40" t="s">
        <v>46</v>
      </c>
      <c r="D40" s="21">
        <f t="shared" si="4"/>
        <v>0.21537944170077289</v>
      </c>
      <c r="E40" s="21">
        <f t="shared" si="4"/>
        <v>0.16540989238107573</v>
      </c>
      <c r="F40" s="21">
        <f t="shared" si="4"/>
        <v>0.17141064982858359</v>
      </c>
      <c r="G40" s="1"/>
      <c r="H40" s="1"/>
    </row>
    <row r="41" spans="2:8" x14ac:dyDescent="0.2">
      <c r="B41" t="s">
        <v>64</v>
      </c>
      <c r="D41" s="57">
        <f>D37+D36</f>
        <v>845683</v>
      </c>
      <c r="E41" s="57">
        <f t="shared" ref="E41:F41" si="5">E37+E36</f>
        <v>909748</v>
      </c>
      <c r="F41" s="57">
        <f t="shared" si="5"/>
        <v>894577</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5F1107-6BF8-49F3-B112-24D6D3CE168B}">
  <sheetPr>
    <tabColor theme="6"/>
  </sheetPr>
  <dimension ref="B1:H41"/>
  <sheetViews>
    <sheetView showGridLines="0" tabSelected="1" zoomScale="90" zoomScaleNormal="90" workbookViewId="0"/>
  </sheetViews>
  <sheetFormatPr baseColWidth="10" defaultColWidth="55" defaultRowHeight="15" x14ac:dyDescent="0.2"/>
  <cols>
    <col min="1" max="1" width="12.83203125" customWidth="1"/>
    <col min="2" max="2" width="68.1640625" customWidth="1"/>
    <col min="3" max="3" width="42.33203125" hidden="1" customWidth="1"/>
    <col min="4" max="8" width="15.6640625" customWidth="1"/>
  </cols>
  <sheetData>
    <row r="1" spans="2:8" ht="51" customHeight="1" x14ac:dyDescent="0.2"/>
    <row r="3" spans="2:8" ht="16" x14ac:dyDescent="0.2">
      <c r="B3" s="63" t="s">
        <v>19</v>
      </c>
      <c r="C3" s="64" t="s">
        <v>35</v>
      </c>
      <c r="D3" s="95" t="s">
        <v>18</v>
      </c>
      <c r="E3" s="95" t="s">
        <v>16</v>
      </c>
      <c r="F3" s="95" t="s">
        <v>17</v>
      </c>
      <c r="G3" s="96" t="s">
        <v>32</v>
      </c>
      <c r="H3" s="97" t="s">
        <v>33</v>
      </c>
    </row>
    <row r="4" spans="2:8" ht="16" x14ac:dyDescent="0.2">
      <c r="B4" s="65" t="s">
        <v>0</v>
      </c>
      <c r="C4" s="66" t="s">
        <v>36</v>
      </c>
      <c r="D4" s="67">
        <v>229252</v>
      </c>
      <c r="E4" s="67">
        <v>231565</v>
      </c>
      <c r="F4" s="67">
        <v>221620</v>
      </c>
      <c r="G4" s="67">
        <f>E4-D4</f>
        <v>2313</v>
      </c>
      <c r="H4" s="68">
        <f t="shared" ref="H4:H25" si="0">IF(F4=0,0,(E4/F4-1))</f>
        <v>4.4874108834942694E-2</v>
      </c>
    </row>
    <row r="5" spans="2:8" ht="16" x14ac:dyDescent="0.2">
      <c r="B5" s="65" t="s">
        <v>1</v>
      </c>
      <c r="C5" s="66" t="s">
        <v>36</v>
      </c>
      <c r="D5" s="67">
        <v>49973</v>
      </c>
      <c r="E5" s="67">
        <v>46819</v>
      </c>
      <c r="F5" s="67">
        <v>41788</v>
      </c>
      <c r="G5" s="67">
        <f t="shared" ref="G5:G11" si="1">E5-D5</f>
        <v>-3154</v>
      </c>
      <c r="H5" s="68">
        <f t="shared" si="0"/>
        <v>0.12039341437733331</v>
      </c>
    </row>
    <row r="6" spans="2:8" ht="16" x14ac:dyDescent="0.2">
      <c r="B6" s="65" t="s">
        <v>2</v>
      </c>
      <c r="C6" s="66" t="s">
        <v>37</v>
      </c>
      <c r="D6" s="67">
        <v>18880</v>
      </c>
      <c r="E6" s="67">
        <v>18382</v>
      </c>
      <c r="F6" s="67">
        <v>12358</v>
      </c>
      <c r="G6" s="67">
        <f t="shared" si="1"/>
        <v>-498</v>
      </c>
      <c r="H6" s="68">
        <f t="shared" si="0"/>
        <v>0.48745751739763721</v>
      </c>
    </row>
    <row r="7" spans="2:8" ht="16" x14ac:dyDescent="0.2">
      <c r="B7" s="65" t="s">
        <v>3</v>
      </c>
      <c r="C7" s="66" t="s">
        <v>36</v>
      </c>
      <c r="D7" s="67">
        <v>23721</v>
      </c>
      <c r="E7" s="67">
        <v>17849</v>
      </c>
      <c r="F7" s="67">
        <v>16057</v>
      </c>
      <c r="G7" s="67">
        <f t="shared" si="1"/>
        <v>-5872</v>
      </c>
      <c r="H7" s="68">
        <f t="shared" si="0"/>
        <v>0.11160241639160495</v>
      </c>
    </row>
    <row r="8" spans="2:8" ht="16" x14ac:dyDescent="0.2">
      <c r="B8" s="65" t="s">
        <v>4</v>
      </c>
      <c r="C8" s="66" t="s">
        <v>36</v>
      </c>
      <c r="D8" s="67">
        <v>75732</v>
      </c>
      <c r="E8" s="67">
        <v>69198</v>
      </c>
      <c r="F8" s="67">
        <v>57452</v>
      </c>
      <c r="G8" s="67">
        <f t="shared" si="1"/>
        <v>-6534</v>
      </c>
      <c r="H8" s="68">
        <f t="shared" si="0"/>
        <v>0.20444893128176567</v>
      </c>
    </row>
    <row r="9" spans="2:8" ht="16" x14ac:dyDescent="0.2">
      <c r="B9" s="65" t="s">
        <v>5</v>
      </c>
      <c r="C9" s="66" t="s">
        <v>37</v>
      </c>
      <c r="D9" s="67">
        <v>23690</v>
      </c>
      <c r="E9" s="67">
        <v>28486</v>
      </c>
      <c r="F9" s="67">
        <v>30898</v>
      </c>
      <c r="G9" s="67">
        <f t="shared" si="1"/>
        <v>4796</v>
      </c>
      <c r="H9" s="68">
        <f t="shared" si="0"/>
        <v>-7.8063305068289179E-2</v>
      </c>
    </row>
    <row r="10" spans="2:8" ht="16" x14ac:dyDescent="0.2">
      <c r="B10" s="65" t="s">
        <v>6</v>
      </c>
      <c r="C10" s="66" t="s">
        <v>37</v>
      </c>
      <c r="D10" s="67">
        <v>600</v>
      </c>
      <c r="E10" s="67">
        <v>26905</v>
      </c>
      <c r="F10" s="67">
        <v>91653</v>
      </c>
      <c r="G10" s="67">
        <f t="shared" si="1"/>
        <v>26305</v>
      </c>
      <c r="H10" s="68">
        <f t="shared" si="0"/>
        <v>-0.70644714302859701</v>
      </c>
    </row>
    <row r="11" spans="2:8" ht="16" x14ac:dyDescent="0.2">
      <c r="B11" s="65" t="s">
        <v>27</v>
      </c>
      <c r="C11" s="66" t="s">
        <v>37</v>
      </c>
      <c r="D11" s="67"/>
      <c r="E11" s="67"/>
      <c r="F11" s="67"/>
      <c r="G11" s="67">
        <f t="shared" si="1"/>
        <v>0</v>
      </c>
      <c r="H11" s="68">
        <f t="shared" si="0"/>
        <v>0</v>
      </c>
    </row>
    <row r="12" spans="2:8" ht="16" x14ac:dyDescent="0.2">
      <c r="B12" s="65" t="s">
        <v>29</v>
      </c>
      <c r="C12" s="66" t="s">
        <v>37</v>
      </c>
      <c r="D12" s="67"/>
      <c r="E12" s="67"/>
      <c r="F12" s="67"/>
      <c r="G12" s="67"/>
      <c r="H12" s="68">
        <f t="shared" si="0"/>
        <v>0</v>
      </c>
    </row>
    <row r="13" spans="2:8" ht="16" x14ac:dyDescent="0.2">
      <c r="B13" s="69" t="s">
        <v>7</v>
      </c>
      <c r="C13" s="70" t="s">
        <v>38</v>
      </c>
      <c r="D13" s="71">
        <f>SUM(D4:D12)</f>
        <v>421848</v>
      </c>
      <c r="E13" s="71">
        <f>SUM(E4:E12)</f>
        <v>439204</v>
      </c>
      <c r="F13" s="71">
        <f>SUM(F4:F12)</f>
        <v>471826</v>
      </c>
      <c r="G13" s="98">
        <f>SUM(G4:G12)</f>
        <v>17356</v>
      </c>
      <c r="H13" s="99">
        <f t="shared" si="0"/>
        <v>-6.913989479172411E-2</v>
      </c>
    </row>
    <row r="14" spans="2:8" ht="16" x14ac:dyDescent="0.2">
      <c r="B14" s="65" t="s">
        <v>8</v>
      </c>
      <c r="C14" s="66" t="s">
        <v>41</v>
      </c>
      <c r="D14" s="67">
        <v>145934</v>
      </c>
      <c r="E14" s="67">
        <v>164786</v>
      </c>
      <c r="F14" s="67">
        <v>159530</v>
      </c>
      <c r="G14" s="67">
        <f t="shared" ref="G14:G19" si="2">E14-D14</f>
        <v>18852</v>
      </c>
      <c r="H14" s="68">
        <f t="shared" si="0"/>
        <v>3.2946781169685968E-2</v>
      </c>
    </row>
    <row r="15" spans="2:8" ht="16" x14ac:dyDescent="0.2">
      <c r="B15" s="65" t="s">
        <v>9</v>
      </c>
      <c r="C15" s="66" t="s">
        <v>41</v>
      </c>
      <c r="D15" s="67">
        <v>72736</v>
      </c>
      <c r="E15" s="67">
        <v>135446</v>
      </c>
      <c r="F15" s="67">
        <v>129925</v>
      </c>
      <c r="G15" s="67">
        <f t="shared" si="2"/>
        <v>62710</v>
      </c>
      <c r="H15" s="68">
        <f t="shared" si="0"/>
        <v>4.2493746392149312E-2</v>
      </c>
    </row>
    <row r="16" spans="2:8" ht="16" x14ac:dyDescent="0.2">
      <c r="B16" s="65" t="s">
        <v>10</v>
      </c>
      <c r="C16" s="66" t="s">
        <v>39</v>
      </c>
      <c r="D16" s="67">
        <v>98</v>
      </c>
      <c r="E16" s="67">
        <v>47</v>
      </c>
      <c r="F16" s="67">
        <v>135</v>
      </c>
      <c r="G16" s="67">
        <f t="shared" si="2"/>
        <v>-51</v>
      </c>
      <c r="H16" s="68">
        <f t="shared" si="0"/>
        <v>-0.6518518518518519</v>
      </c>
    </row>
    <row r="17" spans="2:8" ht="16" x14ac:dyDescent="0.2">
      <c r="B17" s="65" t="s">
        <v>11</v>
      </c>
      <c r="C17" s="66" t="s">
        <v>39</v>
      </c>
      <c r="D17" s="67">
        <v>55225</v>
      </c>
      <c r="E17" s="67">
        <v>5907</v>
      </c>
      <c r="F17" s="67">
        <v>6488</v>
      </c>
      <c r="G17" s="67">
        <f t="shared" si="2"/>
        <v>-49318</v>
      </c>
      <c r="H17" s="68">
        <f t="shared" si="0"/>
        <v>-8.9549938347718849E-2</v>
      </c>
    </row>
    <row r="18" spans="2:8" ht="16" x14ac:dyDescent="0.2">
      <c r="B18" s="65" t="s">
        <v>12</v>
      </c>
      <c r="C18" s="66" t="s">
        <v>39</v>
      </c>
      <c r="D18" s="67">
        <v>-211</v>
      </c>
      <c r="E18" s="67">
        <v>7307</v>
      </c>
      <c r="F18" s="67">
        <v>25659</v>
      </c>
      <c r="G18" s="67">
        <f t="shared" si="2"/>
        <v>7518</v>
      </c>
      <c r="H18" s="68">
        <f t="shared" si="0"/>
        <v>-0.71522662613507926</v>
      </c>
    </row>
    <row r="19" spans="2:8" ht="34" x14ac:dyDescent="0.2">
      <c r="B19" s="72" t="s">
        <v>25</v>
      </c>
      <c r="C19" s="66" t="s">
        <v>39</v>
      </c>
      <c r="D19" s="67"/>
      <c r="E19" s="67"/>
      <c r="F19" s="67"/>
      <c r="G19" s="67">
        <f t="shared" si="2"/>
        <v>0</v>
      </c>
      <c r="H19" s="68">
        <f t="shared" si="0"/>
        <v>0</v>
      </c>
    </row>
    <row r="20" spans="2:8" ht="34" x14ac:dyDescent="0.2">
      <c r="B20" s="73" t="s">
        <v>21</v>
      </c>
      <c r="C20" s="74" t="s">
        <v>40</v>
      </c>
      <c r="D20" s="75">
        <f>SUM(D14:D19)</f>
        <v>273782</v>
      </c>
      <c r="E20" s="75">
        <f>SUM(E14:E19)</f>
        <v>313493</v>
      </c>
      <c r="F20" s="75">
        <f>SUM(F14:F19)</f>
        <v>321737</v>
      </c>
      <c r="G20" s="100">
        <f>SUM(G14:G19)</f>
        <v>39711</v>
      </c>
      <c r="H20" s="101">
        <f t="shared" si="0"/>
        <v>-2.5623412911788157E-2</v>
      </c>
    </row>
    <row r="21" spans="2:8" ht="34" x14ac:dyDescent="0.2">
      <c r="B21" s="73" t="s">
        <v>20</v>
      </c>
      <c r="C21" s="74" t="s">
        <v>42</v>
      </c>
      <c r="D21" s="75">
        <f>D13-D20</f>
        <v>148066</v>
      </c>
      <c r="E21" s="75">
        <f>E13-E20</f>
        <v>125711</v>
      </c>
      <c r="F21" s="75">
        <f>F13-F20</f>
        <v>150089</v>
      </c>
      <c r="G21" s="100">
        <f>G13-G20</f>
        <v>-22355</v>
      </c>
      <c r="H21" s="101">
        <f t="shared" si="0"/>
        <v>-0.16242362864700277</v>
      </c>
    </row>
    <row r="22" spans="2:8" ht="16" x14ac:dyDescent="0.2">
      <c r="B22" s="65" t="s">
        <v>13</v>
      </c>
      <c r="C22" s="66" t="s">
        <v>43</v>
      </c>
      <c r="D22" s="67">
        <v>66500</v>
      </c>
      <c r="E22" s="67">
        <v>70059</v>
      </c>
      <c r="F22" s="67">
        <v>61531</v>
      </c>
      <c r="G22" s="67">
        <f>E22-D22</f>
        <v>3559</v>
      </c>
      <c r="H22" s="68">
        <f t="shared" si="0"/>
        <v>0.13859680486258963</v>
      </c>
    </row>
    <row r="23" spans="2:8" ht="17" x14ac:dyDescent="0.2">
      <c r="B23" s="76" t="s">
        <v>14</v>
      </c>
      <c r="C23" s="77" t="s">
        <v>44</v>
      </c>
      <c r="D23" s="78">
        <f>D21-D22</f>
        <v>81566</v>
      </c>
      <c r="E23" s="78">
        <f>E21-E22</f>
        <v>55652</v>
      </c>
      <c r="F23" s="78">
        <f>F21-F22</f>
        <v>88558</v>
      </c>
      <c r="G23" s="102">
        <f>G21-G22</f>
        <v>-25914</v>
      </c>
      <c r="H23" s="103">
        <f t="shared" si="0"/>
        <v>-0.37157569050791572</v>
      </c>
    </row>
    <row r="24" spans="2:8" ht="16" x14ac:dyDescent="0.2">
      <c r="B24" s="79" t="s">
        <v>15</v>
      </c>
      <c r="C24" s="66" t="s">
        <v>44</v>
      </c>
      <c r="D24" s="80">
        <f>D23</f>
        <v>81566</v>
      </c>
      <c r="E24" s="80">
        <f>E23</f>
        <v>55652</v>
      </c>
      <c r="F24" s="80">
        <f>F23</f>
        <v>88558</v>
      </c>
      <c r="G24" s="80">
        <f>G23</f>
        <v>-25914</v>
      </c>
      <c r="H24" s="81">
        <f t="shared" si="0"/>
        <v>-0.37157569050791572</v>
      </c>
    </row>
    <row r="25" spans="2:8" ht="34" x14ac:dyDescent="0.2">
      <c r="B25" s="76" t="s">
        <v>22</v>
      </c>
      <c r="C25" s="77" t="s">
        <v>45</v>
      </c>
      <c r="D25" s="78">
        <f>D24-D8</f>
        <v>5834</v>
      </c>
      <c r="E25" s="78">
        <f>E24-E8</f>
        <v>-13546</v>
      </c>
      <c r="F25" s="78">
        <f>F24-F8</f>
        <v>31106</v>
      </c>
      <c r="G25" s="102">
        <f>G24-G8</f>
        <v>-19380</v>
      </c>
      <c r="H25" s="103">
        <f t="shared" si="0"/>
        <v>-1.4354786857840931</v>
      </c>
    </row>
    <row r="26" spans="2:8" ht="16" x14ac:dyDescent="0.2">
      <c r="B26" s="82"/>
      <c r="C26" s="83"/>
      <c r="D26" s="84"/>
      <c r="E26" s="84"/>
      <c r="F26" s="84"/>
      <c r="G26" s="84"/>
      <c r="H26" s="85"/>
    </row>
    <row r="27" spans="2:8" ht="16" x14ac:dyDescent="0.2">
      <c r="B27" s="86" t="s">
        <v>34</v>
      </c>
      <c r="C27" s="87"/>
      <c r="D27" s="88"/>
      <c r="E27" s="88"/>
      <c r="F27" s="88"/>
      <c r="G27" s="88"/>
      <c r="H27" s="88"/>
    </row>
    <row r="28" spans="2:8" ht="16" x14ac:dyDescent="0.2">
      <c r="B28" s="89" t="s">
        <v>55</v>
      </c>
      <c r="C28" s="90"/>
      <c r="D28" s="91">
        <v>324719</v>
      </c>
      <c r="E28" s="91">
        <v>417451</v>
      </c>
      <c r="F28" s="91">
        <v>383483</v>
      </c>
      <c r="G28" s="91">
        <v>90892</v>
      </c>
      <c r="H28" s="92">
        <v>0.09</v>
      </c>
    </row>
    <row r="29" spans="2:8" ht="16" x14ac:dyDescent="0.2">
      <c r="B29" s="89" t="s">
        <v>47</v>
      </c>
      <c r="C29" s="90"/>
      <c r="D29" s="93">
        <f>D23/D13</f>
        <v>0.19335400428590394</v>
      </c>
      <c r="E29" s="93">
        <f>E23/E13</f>
        <v>0.12671104999043725</v>
      </c>
      <c r="F29" s="93">
        <f>F23/F13</f>
        <v>0.18769207292518852</v>
      </c>
      <c r="G29" s="93">
        <f>E29-D29</f>
        <v>-6.6642954295466683E-2</v>
      </c>
      <c r="H29" s="94">
        <f>E29-F29</f>
        <v>-6.0981022934751272E-2</v>
      </c>
    </row>
    <row r="30" spans="2:8" ht="16" x14ac:dyDescent="0.2">
      <c r="B30" s="89" t="s">
        <v>48</v>
      </c>
      <c r="C30" s="90"/>
      <c r="D30" s="93">
        <f>D25/D13</f>
        <v>1.3829625836794295E-2</v>
      </c>
      <c r="E30" s="93">
        <f>E25/E13</f>
        <v>-3.0842159907468965E-2</v>
      </c>
      <c r="F30" s="93">
        <f>F25/F13</f>
        <v>6.5926845913535925E-2</v>
      </c>
      <c r="G30" s="93">
        <f>E30-D30</f>
        <v>-4.4671785744263261E-2</v>
      </c>
      <c r="H30" s="94">
        <f>E30-F30</f>
        <v>-9.6769005821004894E-2</v>
      </c>
    </row>
    <row r="31" spans="2:8" ht="16" x14ac:dyDescent="0.2">
      <c r="B31" s="89" t="s">
        <v>46</v>
      </c>
      <c r="C31" s="90"/>
      <c r="D31" s="93">
        <f>(SUM(D4:D5,D7,D8)-SUM(D14:D15))/SUM(D4:D5,D7:D8)</f>
        <v>0.42254369147402276</v>
      </c>
      <c r="E31" s="93">
        <f>(SUM(E4:E5,E7,E8)-SUM(E14:E15))/SUM(E4:E5,E7:E8)</f>
        <v>0.17841671888810748</v>
      </c>
      <c r="F31" s="93">
        <f>(SUM(F4:F5,F7,F8)-SUM(F14:F15))/SUM(F4:F5,F7:F8)</f>
        <v>0.1408714906045109</v>
      </c>
      <c r="G31" s="93">
        <f>E31-D31</f>
        <v>-0.24412697258591529</v>
      </c>
      <c r="H31" s="94">
        <f>E31-F31</f>
        <v>3.7545228283596577E-2</v>
      </c>
    </row>
    <row r="32" spans="2:8" x14ac:dyDescent="0.2">
      <c r="D32" s="15"/>
      <c r="E32" s="15"/>
      <c r="F32" s="15"/>
      <c r="G32" s="15"/>
      <c r="H32" s="15"/>
    </row>
    <row r="33" spans="2:8" x14ac:dyDescent="0.2">
      <c r="D33" s="1"/>
      <c r="E33" s="1"/>
      <c r="F33" s="1"/>
      <c r="G33" s="1"/>
      <c r="H33" s="1"/>
    </row>
    <row r="34" spans="2:8" x14ac:dyDescent="0.2">
      <c r="B34" s="62" t="s">
        <v>52</v>
      </c>
      <c r="D34" s="20"/>
      <c r="E34" s="20"/>
      <c r="F34" s="20"/>
      <c r="G34" s="1"/>
      <c r="H34" s="1"/>
    </row>
    <row r="35" spans="2:8" x14ac:dyDescent="0.2">
      <c r="D35" s="20" t="str">
        <f>D3</f>
        <v>Budget FY 25</v>
      </c>
      <c r="E35" s="20" t="str">
        <f>E3</f>
        <v>Actual FY 25</v>
      </c>
      <c r="F35" s="20" t="str">
        <f>F3</f>
        <v>Actual FY 24</v>
      </c>
      <c r="G35" s="1"/>
      <c r="H35" s="1"/>
    </row>
    <row r="36" spans="2:8" x14ac:dyDescent="0.2">
      <c r="B36" t="s">
        <v>53</v>
      </c>
      <c r="D36" s="20">
        <f>D23</f>
        <v>81566</v>
      </c>
      <c r="E36" s="20">
        <f>E23</f>
        <v>55652</v>
      </c>
      <c r="F36" s="20">
        <f>F23</f>
        <v>88558</v>
      </c>
      <c r="G36" s="1"/>
      <c r="H36" s="1"/>
    </row>
    <row r="37" spans="2:8" x14ac:dyDescent="0.2">
      <c r="B37" t="s">
        <v>40</v>
      </c>
      <c r="D37" s="20">
        <f>SUM(D20,D22)</f>
        <v>340282</v>
      </c>
      <c r="E37" s="20">
        <f>SUM(E20,E22)</f>
        <v>383552</v>
      </c>
      <c r="F37" s="20">
        <f>SUM(F20,F22)</f>
        <v>383268</v>
      </c>
      <c r="G37" s="1"/>
      <c r="H37" s="1"/>
    </row>
    <row r="38" spans="2:8" x14ac:dyDescent="0.2">
      <c r="B38" t="s">
        <v>47</v>
      </c>
      <c r="D38" s="21">
        <f t="shared" ref="D38:F40" si="3">D29</f>
        <v>0.19335400428590394</v>
      </c>
      <c r="E38" s="21">
        <f t="shared" si="3"/>
        <v>0.12671104999043725</v>
      </c>
      <c r="F38" s="21">
        <f t="shared" si="3"/>
        <v>0.18769207292518852</v>
      </c>
      <c r="G38" s="1"/>
      <c r="H38" s="1"/>
    </row>
    <row r="39" spans="2:8" x14ac:dyDescent="0.2">
      <c r="B39" t="s">
        <v>48</v>
      </c>
      <c r="D39" s="21">
        <f t="shared" si="3"/>
        <v>1.3829625836794295E-2</v>
      </c>
      <c r="E39" s="21">
        <f t="shared" si="3"/>
        <v>-3.0842159907468965E-2</v>
      </c>
      <c r="F39" s="21">
        <f t="shared" si="3"/>
        <v>6.5926845913535925E-2</v>
      </c>
      <c r="G39" s="1"/>
      <c r="H39" s="1"/>
    </row>
    <row r="40" spans="2:8" x14ac:dyDescent="0.2">
      <c r="B40" t="s">
        <v>46</v>
      </c>
      <c r="D40" s="21">
        <f t="shared" si="3"/>
        <v>0.42254369147402276</v>
      </c>
      <c r="E40" s="21">
        <f t="shared" si="3"/>
        <v>0.17841671888810748</v>
      </c>
      <c r="F40" s="21">
        <f t="shared" si="3"/>
        <v>0.1408714906045109</v>
      </c>
      <c r="G40" s="1"/>
      <c r="H40" s="1"/>
    </row>
    <row r="41" spans="2:8" x14ac:dyDescent="0.2">
      <c r="B41" t="s">
        <v>64</v>
      </c>
      <c r="D41" s="57">
        <f>D37+D36</f>
        <v>421848</v>
      </c>
      <c r="E41" s="57">
        <f t="shared" ref="E41:F41" si="4">E37+E36</f>
        <v>439204</v>
      </c>
      <c r="F41" s="57">
        <f t="shared" si="4"/>
        <v>471826</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BAB89F-A829-FE41-BACD-C4ADE69AE964}">
  <sheetPr>
    <tabColor theme="5"/>
  </sheetPr>
  <dimension ref="B1:H41"/>
  <sheetViews>
    <sheetView showGridLines="0" zoomScale="90" zoomScaleNormal="90" workbookViewId="0"/>
  </sheetViews>
  <sheetFormatPr baseColWidth="10" defaultColWidth="11" defaultRowHeight="15" x14ac:dyDescent="0.2"/>
  <cols>
    <col min="2" max="2" width="68.1640625" customWidth="1"/>
    <col min="3" max="3" width="25.6640625" hidden="1" customWidth="1"/>
    <col min="4" max="8" width="15.6640625" customWidth="1"/>
  </cols>
  <sheetData>
    <row r="1" spans="2:8" ht="51" customHeight="1" x14ac:dyDescent="0.2"/>
    <row r="3" spans="2:8" ht="16" x14ac:dyDescent="0.2">
      <c r="B3" s="63" t="s">
        <v>19</v>
      </c>
      <c r="C3" s="64" t="s">
        <v>35</v>
      </c>
      <c r="D3" s="95" t="s">
        <v>18</v>
      </c>
      <c r="E3" s="95" t="s">
        <v>16</v>
      </c>
      <c r="F3" s="95" t="s">
        <v>17</v>
      </c>
      <c r="G3" s="96" t="s">
        <v>32</v>
      </c>
      <c r="H3" s="97" t="s">
        <v>33</v>
      </c>
    </row>
    <row r="4" spans="2:8" ht="16" x14ac:dyDescent="0.2">
      <c r="B4" s="65" t="s">
        <v>0</v>
      </c>
      <c r="C4" s="66" t="s">
        <v>36</v>
      </c>
      <c r="D4" s="67">
        <v>142994</v>
      </c>
      <c r="E4" s="67">
        <v>144008</v>
      </c>
      <c r="F4" s="67">
        <v>128728</v>
      </c>
      <c r="G4" s="67">
        <f>E4-D4</f>
        <v>1014</v>
      </c>
      <c r="H4" s="68">
        <f t="shared" ref="H4:H25" si="0">IF(F4=0,0,(E4/F4-1))</f>
        <v>0.11869989435087946</v>
      </c>
    </row>
    <row r="5" spans="2:8" ht="16" x14ac:dyDescent="0.2">
      <c r="B5" s="65" t="s">
        <v>1</v>
      </c>
      <c r="C5" s="66" t="s">
        <v>36</v>
      </c>
      <c r="D5" s="67">
        <v>29911</v>
      </c>
      <c r="E5" s="67">
        <v>35509</v>
      </c>
      <c r="F5" s="67">
        <v>31193</v>
      </c>
      <c r="G5" s="67">
        <f t="shared" ref="G5:G11" si="1">E5-D5</f>
        <v>5598</v>
      </c>
      <c r="H5" s="68">
        <f t="shared" si="0"/>
        <v>0.13836437662296031</v>
      </c>
    </row>
    <row r="6" spans="2:8" ht="16" x14ac:dyDescent="0.2">
      <c r="B6" s="65" t="s">
        <v>2</v>
      </c>
      <c r="C6" s="66" t="s">
        <v>37</v>
      </c>
      <c r="D6" s="67">
        <v>6933</v>
      </c>
      <c r="E6" s="67">
        <v>9660</v>
      </c>
      <c r="F6" s="67">
        <v>9312</v>
      </c>
      <c r="G6" s="67">
        <f t="shared" si="1"/>
        <v>2727</v>
      </c>
      <c r="H6" s="68">
        <f t="shared" si="0"/>
        <v>3.7371134020618646E-2</v>
      </c>
    </row>
    <row r="7" spans="2:8" ht="16" x14ac:dyDescent="0.2">
      <c r="B7" s="65" t="s">
        <v>3</v>
      </c>
      <c r="C7" s="66" t="s">
        <v>36</v>
      </c>
      <c r="D7" s="67">
        <v>19810</v>
      </c>
      <c r="E7" s="67">
        <v>18992</v>
      </c>
      <c r="F7" s="67">
        <v>23113</v>
      </c>
      <c r="G7" s="67">
        <f t="shared" si="1"/>
        <v>-818</v>
      </c>
      <c r="H7" s="68">
        <f t="shared" si="0"/>
        <v>-0.17829792757322716</v>
      </c>
    </row>
    <row r="8" spans="2:8" ht="16" x14ac:dyDescent="0.2">
      <c r="B8" s="65" t="s">
        <v>4</v>
      </c>
      <c r="C8" s="66" t="s">
        <v>36</v>
      </c>
      <c r="D8" s="67">
        <v>102404</v>
      </c>
      <c r="E8" s="67">
        <v>167184</v>
      </c>
      <c r="F8" s="67">
        <v>154622</v>
      </c>
      <c r="G8" s="67">
        <f t="shared" si="1"/>
        <v>64780</v>
      </c>
      <c r="H8" s="68">
        <f t="shared" si="0"/>
        <v>8.1243290088085729E-2</v>
      </c>
    </row>
    <row r="9" spans="2:8" ht="16" x14ac:dyDescent="0.2">
      <c r="B9" s="65" t="s">
        <v>5</v>
      </c>
      <c r="C9" s="66" t="s">
        <v>37</v>
      </c>
      <c r="D9" s="67">
        <v>12978</v>
      </c>
      <c r="E9" s="67">
        <v>30305</v>
      </c>
      <c r="F9" s="67">
        <v>25956</v>
      </c>
      <c r="G9" s="67">
        <f t="shared" si="1"/>
        <v>17327</v>
      </c>
      <c r="H9" s="68">
        <f t="shared" si="0"/>
        <v>0.16755278163045162</v>
      </c>
    </row>
    <row r="10" spans="2:8" ht="16" x14ac:dyDescent="0.2">
      <c r="B10" s="65" t="s">
        <v>6</v>
      </c>
      <c r="C10" s="66" t="s">
        <v>37</v>
      </c>
      <c r="D10" s="67">
        <v>8427</v>
      </c>
      <c r="E10" s="67">
        <v>8691</v>
      </c>
      <c r="F10" s="67">
        <v>8152</v>
      </c>
      <c r="G10" s="67">
        <f t="shared" si="1"/>
        <v>264</v>
      </c>
      <c r="H10" s="68">
        <f t="shared" si="0"/>
        <v>6.6118743866535823E-2</v>
      </c>
    </row>
    <row r="11" spans="2:8" ht="16" x14ac:dyDescent="0.2">
      <c r="B11" s="65" t="s">
        <v>27</v>
      </c>
      <c r="C11" s="66" t="s">
        <v>37</v>
      </c>
      <c r="D11" s="67"/>
      <c r="E11" s="67"/>
      <c r="F11" s="67"/>
      <c r="G11" s="67">
        <f t="shared" si="1"/>
        <v>0</v>
      </c>
      <c r="H11" s="68">
        <f t="shared" si="0"/>
        <v>0</v>
      </c>
    </row>
    <row r="12" spans="2:8" ht="16" x14ac:dyDescent="0.2">
      <c r="B12" s="65" t="s">
        <v>29</v>
      </c>
      <c r="C12" s="66" t="s">
        <v>37</v>
      </c>
      <c r="D12" s="67">
        <v>1262</v>
      </c>
      <c r="E12" s="67">
        <v>3102</v>
      </c>
      <c r="F12" s="67">
        <v>2407</v>
      </c>
      <c r="G12" s="67"/>
      <c r="H12" s="68">
        <f t="shared" si="0"/>
        <v>0.28874117158288315</v>
      </c>
    </row>
    <row r="13" spans="2:8" ht="16" x14ac:dyDescent="0.2">
      <c r="B13" s="69" t="s">
        <v>7</v>
      </c>
      <c r="C13" s="70" t="s">
        <v>38</v>
      </c>
      <c r="D13" s="71">
        <v>324719</v>
      </c>
      <c r="E13" s="71">
        <v>417451</v>
      </c>
      <c r="F13" s="71">
        <v>383483</v>
      </c>
      <c r="G13" s="98">
        <f>SUM(G4:G12)</f>
        <v>90892</v>
      </c>
      <c r="H13" s="99">
        <f t="shared" si="0"/>
        <v>8.8577590140892726E-2</v>
      </c>
    </row>
    <row r="14" spans="2:8" ht="16" x14ac:dyDescent="0.2">
      <c r="B14" s="65" t="s">
        <v>8</v>
      </c>
      <c r="C14" s="66" t="s">
        <v>41</v>
      </c>
      <c r="D14" s="67">
        <v>83698</v>
      </c>
      <c r="E14" s="67">
        <v>81713</v>
      </c>
      <c r="F14" s="67">
        <v>73247</v>
      </c>
      <c r="G14" s="67">
        <f t="shared" ref="G14:G19" si="2">E14-D14</f>
        <v>-1985</v>
      </c>
      <c r="H14" s="68">
        <f t="shared" si="0"/>
        <v>0.11558152552322953</v>
      </c>
    </row>
    <row r="15" spans="2:8" ht="16" x14ac:dyDescent="0.2">
      <c r="B15" s="65" t="s">
        <v>9</v>
      </c>
      <c r="C15" s="66" t="s">
        <v>41</v>
      </c>
      <c r="D15" s="67">
        <v>88447</v>
      </c>
      <c r="E15" s="67">
        <v>89550</v>
      </c>
      <c r="F15" s="67">
        <v>79966</v>
      </c>
      <c r="G15" s="67">
        <f t="shared" si="2"/>
        <v>1103</v>
      </c>
      <c r="H15" s="68">
        <f t="shared" si="0"/>
        <v>0.11985093664807533</v>
      </c>
    </row>
    <row r="16" spans="2:8" ht="16" x14ac:dyDescent="0.2">
      <c r="B16" s="65" t="s">
        <v>10</v>
      </c>
      <c r="C16" s="66" t="s">
        <v>39</v>
      </c>
      <c r="D16" s="67">
        <v>0</v>
      </c>
      <c r="E16" s="67">
        <v>64</v>
      </c>
      <c r="F16" s="67">
        <v>37</v>
      </c>
      <c r="G16" s="67">
        <f t="shared" si="2"/>
        <v>64</v>
      </c>
      <c r="H16" s="68">
        <f t="shared" si="0"/>
        <v>0.72972972972972983</v>
      </c>
    </row>
    <row r="17" spans="2:8" ht="16" x14ac:dyDescent="0.2">
      <c r="B17" s="65" t="s">
        <v>11</v>
      </c>
      <c r="C17" s="66" t="s">
        <v>39</v>
      </c>
      <c r="D17" s="67">
        <v>6710</v>
      </c>
      <c r="E17" s="67">
        <v>19498</v>
      </c>
      <c r="F17" s="67">
        <v>41618</v>
      </c>
      <c r="G17" s="67">
        <f t="shared" si="2"/>
        <v>12788</v>
      </c>
      <c r="H17" s="68">
        <f t="shared" si="0"/>
        <v>-0.53150079292613772</v>
      </c>
    </row>
    <row r="18" spans="2:8" ht="16" x14ac:dyDescent="0.2">
      <c r="B18" s="65" t="s">
        <v>12</v>
      </c>
      <c r="C18" s="66" t="s">
        <v>39</v>
      </c>
      <c r="D18" s="67">
        <v>0</v>
      </c>
      <c r="E18" s="67">
        <v>0</v>
      </c>
      <c r="F18" s="67">
        <v>0</v>
      </c>
      <c r="G18" s="67">
        <f t="shared" si="2"/>
        <v>0</v>
      </c>
      <c r="H18" s="68">
        <f t="shared" si="0"/>
        <v>0</v>
      </c>
    </row>
    <row r="19" spans="2:8" ht="34" x14ac:dyDescent="0.2">
      <c r="B19" s="72" t="s">
        <v>25</v>
      </c>
      <c r="C19" s="66" t="s">
        <v>39</v>
      </c>
      <c r="D19" s="67">
        <v>0</v>
      </c>
      <c r="E19" s="67">
        <v>0</v>
      </c>
      <c r="F19" s="67">
        <v>0</v>
      </c>
      <c r="G19" s="67">
        <f t="shared" si="2"/>
        <v>0</v>
      </c>
      <c r="H19" s="68">
        <f t="shared" si="0"/>
        <v>0</v>
      </c>
    </row>
    <row r="20" spans="2:8" ht="34" x14ac:dyDescent="0.2">
      <c r="B20" s="73" t="s">
        <v>21</v>
      </c>
      <c r="C20" s="74" t="s">
        <v>40</v>
      </c>
      <c r="D20" s="75">
        <v>178855</v>
      </c>
      <c r="E20" s="75">
        <v>190825</v>
      </c>
      <c r="F20" s="75">
        <v>194868</v>
      </c>
      <c r="G20" s="100">
        <f>SUM(G14:G19)</f>
        <v>11970</v>
      </c>
      <c r="H20" s="101">
        <f t="shared" si="0"/>
        <v>-2.0747377712092341E-2</v>
      </c>
    </row>
    <row r="21" spans="2:8" ht="34" x14ac:dyDescent="0.2">
      <c r="B21" s="73" t="s">
        <v>20</v>
      </c>
      <c r="C21" s="74" t="s">
        <v>42</v>
      </c>
      <c r="D21" s="75">
        <v>145864</v>
      </c>
      <c r="E21" s="75">
        <v>226626</v>
      </c>
      <c r="F21" s="75">
        <v>188615</v>
      </c>
      <c r="G21" s="100">
        <f>G13-G20</f>
        <v>78922</v>
      </c>
      <c r="H21" s="101">
        <f t="shared" si="0"/>
        <v>0.20152691991623151</v>
      </c>
    </row>
    <row r="22" spans="2:8" ht="16" x14ac:dyDescent="0.2">
      <c r="B22" s="65" t="s">
        <v>13</v>
      </c>
      <c r="C22" s="66" t="s">
        <v>43</v>
      </c>
      <c r="D22" s="67">
        <v>29613</v>
      </c>
      <c r="E22" s="67">
        <v>30232</v>
      </c>
      <c r="F22" s="67">
        <v>26904</v>
      </c>
      <c r="G22" s="67">
        <f>E22-D22</f>
        <v>619</v>
      </c>
      <c r="H22" s="68">
        <f t="shared" si="0"/>
        <v>0.12369907820398462</v>
      </c>
    </row>
    <row r="23" spans="2:8" ht="34" x14ac:dyDescent="0.2">
      <c r="B23" s="76" t="s">
        <v>14</v>
      </c>
      <c r="C23" s="77" t="s">
        <v>44</v>
      </c>
      <c r="D23" s="78">
        <v>116251</v>
      </c>
      <c r="E23" s="78">
        <v>196394</v>
      </c>
      <c r="F23" s="78">
        <v>161711</v>
      </c>
      <c r="G23" s="102">
        <f>G21-G22</f>
        <v>78303</v>
      </c>
      <c r="H23" s="103">
        <f t="shared" si="0"/>
        <v>0.21447520576831502</v>
      </c>
    </row>
    <row r="24" spans="2:8" ht="16" x14ac:dyDescent="0.2">
      <c r="B24" s="79" t="s">
        <v>15</v>
      </c>
      <c r="C24" s="66" t="s">
        <v>44</v>
      </c>
      <c r="D24" s="80">
        <v>116251</v>
      </c>
      <c r="E24" s="80">
        <v>196394</v>
      </c>
      <c r="F24" s="80">
        <v>161711</v>
      </c>
      <c r="G24" s="80">
        <f>G23</f>
        <v>78303</v>
      </c>
      <c r="H24" s="81">
        <f t="shared" si="0"/>
        <v>0.21447520576831502</v>
      </c>
    </row>
    <row r="25" spans="2:8" ht="51" x14ac:dyDescent="0.2">
      <c r="B25" s="76" t="s">
        <v>22</v>
      </c>
      <c r="C25" s="77" t="s">
        <v>45</v>
      </c>
      <c r="D25" s="78">
        <v>13847</v>
      </c>
      <c r="E25" s="78">
        <v>29210</v>
      </c>
      <c r="F25" s="78">
        <v>7089</v>
      </c>
      <c r="G25" s="102">
        <f>G24-G8</f>
        <v>13523</v>
      </c>
      <c r="H25" s="103">
        <f t="shared" si="0"/>
        <v>3.1204683312173787</v>
      </c>
    </row>
    <row r="26" spans="2:8" ht="16" x14ac:dyDescent="0.2">
      <c r="B26" s="82"/>
      <c r="C26" s="83"/>
      <c r="D26" s="84"/>
      <c r="E26" s="84"/>
      <c r="F26" s="84"/>
      <c r="G26" s="84"/>
      <c r="H26" s="85"/>
    </row>
    <row r="27" spans="2:8" ht="16" x14ac:dyDescent="0.2">
      <c r="B27" s="86" t="s">
        <v>34</v>
      </c>
      <c r="C27" s="87"/>
      <c r="D27" s="88"/>
      <c r="E27" s="88"/>
      <c r="F27" s="88"/>
      <c r="G27" s="88"/>
      <c r="H27" s="88"/>
    </row>
    <row r="28" spans="2:8" ht="16" x14ac:dyDescent="0.2">
      <c r="B28" s="89" t="s">
        <v>55</v>
      </c>
      <c r="C28" s="90"/>
      <c r="D28" s="91">
        <v>324719</v>
      </c>
      <c r="E28" s="91">
        <v>417451</v>
      </c>
      <c r="F28" s="91">
        <v>383483</v>
      </c>
      <c r="G28" s="91">
        <f>SUM(G24:G27)</f>
        <v>91826</v>
      </c>
      <c r="H28" s="92">
        <f t="shared" ref="H28" si="3">E28/F28-1</f>
        <v>8.8577590140892726E-2</v>
      </c>
    </row>
    <row r="29" spans="2:8" ht="16" x14ac:dyDescent="0.2">
      <c r="B29" s="89" t="s">
        <v>47</v>
      </c>
      <c r="C29" s="90"/>
      <c r="D29" s="93">
        <v>0.35800492117800314</v>
      </c>
      <c r="E29" s="93">
        <v>0.47046000608454647</v>
      </c>
      <c r="F29" s="93">
        <v>0.42169014011051337</v>
      </c>
      <c r="G29" s="93">
        <f>E29-D29</f>
        <v>0.11245508490654332</v>
      </c>
      <c r="H29" s="94">
        <f>E29-F29</f>
        <v>4.87698659740331E-2</v>
      </c>
    </row>
    <row r="30" spans="2:8" ht="16" x14ac:dyDescent="0.2">
      <c r="B30" s="89" t="s">
        <v>48</v>
      </c>
      <c r="C30" s="90"/>
      <c r="D30" s="93">
        <v>4.2643023660457198E-2</v>
      </c>
      <c r="E30" s="93">
        <v>6.9972284172274107E-2</v>
      </c>
      <c r="F30" s="93">
        <v>1.8485825968817392E-2</v>
      </c>
      <c r="G30" s="93">
        <f>E30-D30</f>
        <v>2.7329260511816909E-2</v>
      </c>
      <c r="H30" s="94">
        <f>E30-F30</f>
        <v>5.1486458203456716E-2</v>
      </c>
    </row>
    <row r="31" spans="2:8" ht="16" x14ac:dyDescent="0.2">
      <c r="B31" s="89" t="s">
        <v>46</v>
      </c>
      <c r="C31" s="90"/>
      <c r="D31" s="93">
        <v>0.41669292725985113</v>
      </c>
      <c r="E31" s="93">
        <v>0.53167547642421376</v>
      </c>
      <c r="F31" s="93">
        <v>0.54624529106546305</v>
      </c>
      <c r="G31" s="93">
        <f>E31-D31</f>
        <v>0.11498254916436262</v>
      </c>
      <c r="H31" s="94">
        <f>E31-F31</f>
        <v>-1.456981464124929E-2</v>
      </c>
    </row>
    <row r="32" spans="2:8" x14ac:dyDescent="0.2">
      <c r="D32" s="15"/>
      <c r="E32" s="15"/>
      <c r="F32" s="15"/>
      <c r="G32" s="15"/>
      <c r="H32" s="15"/>
    </row>
    <row r="33" spans="2:8" x14ac:dyDescent="0.2">
      <c r="D33" s="1"/>
      <c r="E33" s="1"/>
      <c r="F33" s="1"/>
      <c r="G33" s="1"/>
      <c r="H33" s="1"/>
    </row>
    <row r="34" spans="2:8" x14ac:dyDescent="0.2">
      <c r="B34" s="60" t="s">
        <v>52</v>
      </c>
      <c r="C34" s="51"/>
      <c r="D34" s="61"/>
      <c r="E34" s="61"/>
      <c r="F34" s="61"/>
      <c r="G34" s="1"/>
      <c r="H34" s="1"/>
    </row>
    <row r="35" spans="2:8" x14ac:dyDescent="0.2">
      <c r="D35" s="20" t="str">
        <f>D3</f>
        <v>Budget FY 25</v>
      </c>
      <c r="E35" s="20" t="str">
        <f>E3</f>
        <v>Actual FY 25</v>
      </c>
      <c r="F35" s="20" t="str">
        <f>F3</f>
        <v>Actual FY 24</v>
      </c>
      <c r="G35" s="1"/>
      <c r="H35" s="1"/>
    </row>
    <row r="36" spans="2:8" x14ac:dyDescent="0.2">
      <c r="B36" t="s">
        <v>53</v>
      </c>
      <c r="D36" s="20">
        <f>D23</f>
        <v>116251</v>
      </c>
      <c r="E36" s="20">
        <f>E23</f>
        <v>196394</v>
      </c>
      <c r="F36" s="20">
        <f>F23</f>
        <v>161711</v>
      </c>
      <c r="G36" s="1"/>
      <c r="H36" s="1"/>
    </row>
    <row r="37" spans="2:8" x14ac:dyDescent="0.2">
      <c r="B37" t="s">
        <v>40</v>
      </c>
      <c r="D37" s="20">
        <f>SUM(D20,D22)</f>
        <v>208468</v>
      </c>
      <c r="E37" s="20">
        <f>SUM(E20,E22)</f>
        <v>221057</v>
      </c>
      <c r="F37" s="20">
        <f>SUM(F20,F22)</f>
        <v>221772</v>
      </c>
      <c r="G37" s="1"/>
      <c r="H37" s="1"/>
    </row>
    <row r="38" spans="2:8" x14ac:dyDescent="0.2">
      <c r="B38" t="s">
        <v>47</v>
      </c>
      <c r="D38" s="21">
        <f t="shared" ref="D38:F40" si="4">D29</f>
        <v>0.35800492117800314</v>
      </c>
      <c r="E38" s="21">
        <f t="shared" si="4"/>
        <v>0.47046000608454647</v>
      </c>
      <c r="F38" s="21">
        <f t="shared" si="4"/>
        <v>0.42169014011051337</v>
      </c>
      <c r="G38" s="1"/>
      <c r="H38" s="1"/>
    </row>
    <row r="39" spans="2:8" x14ac:dyDescent="0.2">
      <c r="B39" t="s">
        <v>48</v>
      </c>
      <c r="D39" s="21">
        <f t="shared" si="4"/>
        <v>4.2643023660457198E-2</v>
      </c>
      <c r="E39" s="21">
        <f t="shared" si="4"/>
        <v>6.9972284172274107E-2</v>
      </c>
      <c r="F39" s="21">
        <f t="shared" si="4"/>
        <v>1.8485825968817392E-2</v>
      </c>
      <c r="G39" s="1"/>
      <c r="H39" s="1"/>
    </row>
    <row r="40" spans="2:8" x14ac:dyDescent="0.2">
      <c r="B40" t="s">
        <v>46</v>
      </c>
      <c r="D40" s="21">
        <f t="shared" si="4"/>
        <v>0.41669292725985113</v>
      </c>
      <c r="E40" s="21">
        <f t="shared" si="4"/>
        <v>0.53167547642421376</v>
      </c>
      <c r="F40" s="21">
        <f t="shared" si="4"/>
        <v>0.54624529106546305</v>
      </c>
      <c r="G40" s="1"/>
      <c r="H40" s="1"/>
    </row>
    <row r="41" spans="2:8" x14ac:dyDescent="0.2">
      <c r="B41" t="s">
        <v>64</v>
      </c>
      <c r="D41" s="57">
        <f>D37+D36</f>
        <v>324719</v>
      </c>
      <c r="E41" s="57">
        <f t="shared" ref="E41:F41" si="5">E37+E36</f>
        <v>417451</v>
      </c>
      <c r="F41" s="57">
        <f t="shared" si="5"/>
        <v>383483</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421852-D70A-404C-AE44-0AA835B70103}">
  <sheetPr>
    <tabColor theme="8"/>
  </sheetPr>
  <dimension ref="B1:H41"/>
  <sheetViews>
    <sheetView showGridLines="0" zoomScaleNormal="100" workbookViewId="0">
      <selection activeCell="X19" sqref="X19"/>
    </sheetView>
  </sheetViews>
  <sheetFormatPr baseColWidth="10" defaultColWidth="11" defaultRowHeight="15" x14ac:dyDescent="0.2"/>
  <cols>
    <col min="2" max="2" width="68.1640625" customWidth="1"/>
    <col min="3" max="3" width="25.6640625" hidden="1" customWidth="1"/>
    <col min="4" max="8" width="15.6640625" customWidth="1"/>
  </cols>
  <sheetData>
    <row r="1" spans="2:8" ht="39" customHeight="1" x14ac:dyDescent="0.2"/>
    <row r="3" spans="2:8" ht="16" x14ac:dyDescent="0.2">
      <c r="B3" s="63" t="s">
        <v>19</v>
      </c>
      <c r="C3" s="64" t="s">
        <v>35</v>
      </c>
      <c r="D3" s="95" t="s">
        <v>18</v>
      </c>
      <c r="E3" s="95" t="s">
        <v>16</v>
      </c>
      <c r="F3" s="95" t="s">
        <v>17</v>
      </c>
      <c r="G3" s="96" t="s">
        <v>32</v>
      </c>
      <c r="H3" s="97" t="s">
        <v>33</v>
      </c>
    </row>
    <row r="4" spans="2:8" ht="16" x14ac:dyDescent="0.2">
      <c r="B4" s="65" t="s">
        <v>0</v>
      </c>
      <c r="C4" s="66" t="s">
        <v>36</v>
      </c>
      <c r="D4" s="67">
        <v>125129</v>
      </c>
      <c r="E4" s="67">
        <v>126012</v>
      </c>
      <c r="F4" s="67">
        <v>116643</v>
      </c>
      <c r="G4" s="67">
        <f>E4-D4</f>
        <v>883</v>
      </c>
      <c r="H4" s="68">
        <f t="shared" ref="H4:H25" si="0">IF(F4=0,0,(E4/F4-1))</f>
        <v>8.0322008178802085E-2</v>
      </c>
    </row>
    <row r="5" spans="2:8" ht="16" x14ac:dyDescent="0.2">
      <c r="B5" s="65" t="s">
        <v>1</v>
      </c>
      <c r="C5" s="66" t="s">
        <v>36</v>
      </c>
      <c r="D5" s="67">
        <v>14958</v>
      </c>
      <c r="E5" s="67">
        <v>16427</v>
      </c>
      <c r="F5" s="67">
        <v>14762</v>
      </c>
      <c r="G5" s="67">
        <f t="shared" ref="G5:G11" si="1">E5-D5</f>
        <v>1469</v>
      </c>
      <c r="H5" s="68">
        <f t="shared" si="0"/>
        <v>0.11278959490583929</v>
      </c>
    </row>
    <row r="6" spans="2:8" ht="16" x14ac:dyDescent="0.2">
      <c r="B6" s="65" t="s">
        <v>2</v>
      </c>
      <c r="C6" s="66" t="s">
        <v>37</v>
      </c>
      <c r="D6" s="67">
        <v>3963</v>
      </c>
      <c r="E6" s="67">
        <v>4636</v>
      </c>
      <c r="F6" s="67">
        <v>4179</v>
      </c>
      <c r="G6" s="67">
        <f t="shared" si="1"/>
        <v>673</v>
      </c>
      <c r="H6" s="68">
        <f t="shared" si="0"/>
        <v>0.10935630533620477</v>
      </c>
    </row>
    <row r="7" spans="2:8" ht="16" x14ac:dyDescent="0.2">
      <c r="B7" s="65" t="s">
        <v>3</v>
      </c>
      <c r="C7" s="66" t="s">
        <v>36</v>
      </c>
      <c r="D7" s="67">
        <v>9174</v>
      </c>
      <c r="E7" s="67">
        <v>13562</v>
      </c>
      <c r="F7" s="67">
        <v>10642</v>
      </c>
      <c r="G7" s="67">
        <f t="shared" si="1"/>
        <v>4388</v>
      </c>
      <c r="H7" s="68">
        <f t="shared" si="0"/>
        <v>0.27438451418906218</v>
      </c>
    </row>
    <row r="8" spans="2:8" ht="16" x14ac:dyDescent="0.2">
      <c r="B8" s="65" t="s">
        <v>4</v>
      </c>
      <c r="C8" s="66" t="s">
        <v>36</v>
      </c>
      <c r="D8" s="67">
        <v>9940</v>
      </c>
      <c r="E8" s="67">
        <v>41945</v>
      </c>
      <c r="F8" s="67">
        <v>-22203</v>
      </c>
      <c r="G8" s="67">
        <f t="shared" si="1"/>
        <v>32005</v>
      </c>
      <c r="H8" s="68">
        <f t="shared" si="0"/>
        <v>-2.8891591226410842</v>
      </c>
    </row>
    <row r="9" spans="2:8" ht="16" x14ac:dyDescent="0.2">
      <c r="B9" s="65" t="s">
        <v>5</v>
      </c>
      <c r="C9" s="66" t="s">
        <v>37</v>
      </c>
      <c r="D9" s="67">
        <v>10271</v>
      </c>
      <c r="E9" s="67">
        <v>12548</v>
      </c>
      <c r="F9" s="67">
        <v>12970</v>
      </c>
      <c r="G9" s="67">
        <f t="shared" si="1"/>
        <v>2277</v>
      </c>
      <c r="H9" s="68">
        <f t="shared" si="0"/>
        <v>-3.2536622976098717E-2</v>
      </c>
    </row>
    <row r="10" spans="2:8" ht="16" x14ac:dyDescent="0.2">
      <c r="B10" s="65" t="s">
        <v>6</v>
      </c>
      <c r="C10" s="66" t="s">
        <v>37</v>
      </c>
      <c r="D10" s="67">
        <v>4050</v>
      </c>
      <c r="E10" s="67">
        <v>9991</v>
      </c>
      <c r="F10" s="67">
        <v>5759</v>
      </c>
      <c r="G10" s="67">
        <f t="shared" si="1"/>
        <v>5941</v>
      </c>
      <c r="H10" s="68">
        <f t="shared" si="0"/>
        <v>0.73484980031255431</v>
      </c>
    </row>
    <row r="11" spans="2:8" ht="16" x14ac:dyDescent="0.2">
      <c r="B11" s="65" t="s">
        <v>27</v>
      </c>
      <c r="C11" s="66" t="s">
        <v>37</v>
      </c>
      <c r="D11" s="67">
        <v>0</v>
      </c>
      <c r="E11" s="67">
        <v>0</v>
      </c>
      <c r="F11" s="67">
        <v>0</v>
      </c>
      <c r="G11" s="67">
        <f t="shared" si="1"/>
        <v>0</v>
      </c>
      <c r="H11" s="68">
        <f t="shared" si="0"/>
        <v>0</v>
      </c>
    </row>
    <row r="12" spans="2:8" ht="16" x14ac:dyDescent="0.2">
      <c r="B12" s="65" t="s">
        <v>29</v>
      </c>
      <c r="C12" s="66" t="s">
        <v>37</v>
      </c>
      <c r="D12" s="67"/>
      <c r="E12" s="67"/>
      <c r="F12" s="67"/>
      <c r="G12" s="67"/>
      <c r="H12" s="68">
        <f t="shared" si="0"/>
        <v>0</v>
      </c>
    </row>
    <row r="13" spans="2:8" ht="16" x14ac:dyDescent="0.2">
      <c r="B13" s="69" t="s">
        <v>7</v>
      </c>
      <c r="C13" s="70" t="s">
        <v>38</v>
      </c>
      <c r="D13" s="71">
        <f>SUM(D4:D12)</f>
        <v>177485</v>
      </c>
      <c r="E13" s="71">
        <f>SUM(E4:E12)</f>
        <v>225121</v>
      </c>
      <c r="F13" s="71">
        <f>SUM(F4:F12)</f>
        <v>142752</v>
      </c>
      <c r="G13" s="98">
        <f>SUM(G4:G12)</f>
        <v>47636</v>
      </c>
      <c r="H13" s="99">
        <f t="shared" si="0"/>
        <v>0.57700767765075089</v>
      </c>
    </row>
    <row r="14" spans="2:8" ht="16" x14ac:dyDescent="0.2">
      <c r="B14" s="65" t="s">
        <v>8</v>
      </c>
      <c r="C14" s="66" t="s">
        <v>41</v>
      </c>
      <c r="D14" s="67">
        <v>58497</v>
      </c>
      <c r="E14" s="67">
        <v>58441</v>
      </c>
      <c r="F14" s="67">
        <v>54031</v>
      </c>
      <c r="G14" s="67">
        <f t="shared" ref="G14:G19" si="2">E14-D14</f>
        <v>-56</v>
      </c>
      <c r="H14" s="68">
        <f t="shared" si="0"/>
        <v>8.1619810849327346E-2</v>
      </c>
    </row>
    <row r="15" spans="2:8" ht="16" x14ac:dyDescent="0.2">
      <c r="B15" s="65" t="s">
        <v>9</v>
      </c>
      <c r="C15" s="66" t="s">
        <v>41</v>
      </c>
      <c r="D15" s="67">
        <v>71796</v>
      </c>
      <c r="E15" s="67">
        <v>72268</v>
      </c>
      <c r="F15" s="67">
        <v>82222</v>
      </c>
      <c r="G15" s="67">
        <f t="shared" si="2"/>
        <v>472</v>
      </c>
      <c r="H15" s="68">
        <f t="shared" si="0"/>
        <v>-0.12106248935807939</v>
      </c>
    </row>
    <row r="16" spans="2:8" ht="16" x14ac:dyDescent="0.2">
      <c r="B16" s="65" t="s">
        <v>10</v>
      </c>
      <c r="C16" s="66" t="s">
        <v>39</v>
      </c>
      <c r="D16" s="67">
        <v>10</v>
      </c>
      <c r="E16" s="67">
        <v>23</v>
      </c>
      <c r="F16" s="67">
        <v>16</v>
      </c>
      <c r="G16" s="67">
        <f t="shared" si="2"/>
        <v>13</v>
      </c>
      <c r="H16" s="68">
        <f t="shared" si="0"/>
        <v>0.4375</v>
      </c>
    </row>
    <row r="17" spans="2:8" ht="16" x14ac:dyDescent="0.2">
      <c r="B17" s="65" t="s">
        <v>11</v>
      </c>
      <c r="C17" s="66" t="s">
        <v>39</v>
      </c>
      <c r="D17" s="67">
        <v>4576</v>
      </c>
      <c r="E17" s="67">
        <v>4686</v>
      </c>
      <c r="F17" s="67">
        <v>4813</v>
      </c>
      <c r="G17" s="67">
        <f t="shared" si="2"/>
        <v>110</v>
      </c>
      <c r="H17" s="68">
        <f t="shared" si="0"/>
        <v>-2.6386868896738025E-2</v>
      </c>
    </row>
    <row r="18" spans="2:8" ht="16" x14ac:dyDescent="0.2">
      <c r="B18" s="65" t="s">
        <v>12</v>
      </c>
      <c r="C18" s="66" t="s">
        <v>39</v>
      </c>
      <c r="D18" s="67">
        <v>0</v>
      </c>
      <c r="E18" s="67">
        <v>1211</v>
      </c>
      <c r="F18" s="67">
        <v>4560</v>
      </c>
      <c r="G18" s="67">
        <f t="shared" si="2"/>
        <v>1211</v>
      </c>
      <c r="H18" s="68">
        <f t="shared" si="0"/>
        <v>-0.73442982456140349</v>
      </c>
    </row>
    <row r="19" spans="2:8" ht="34" x14ac:dyDescent="0.2">
      <c r="B19" s="72" t="s">
        <v>25</v>
      </c>
      <c r="C19" s="66" t="s">
        <v>39</v>
      </c>
      <c r="D19" s="67">
        <v>0</v>
      </c>
      <c r="E19" s="67">
        <v>0</v>
      </c>
      <c r="F19" s="67">
        <v>0</v>
      </c>
      <c r="G19" s="67">
        <f t="shared" si="2"/>
        <v>0</v>
      </c>
      <c r="H19" s="68">
        <f t="shared" si="0"/>
        <v>0</v>
      </c>
    </row>
    <row r="20" spans="2:8" ht="34" x14ac:dyDescent="0.2">
      <c r="B20" s="73" t="s">
        <v>21</v>
      </c>
      <c r="C20" s="74" t="s">
        <v>40</v>
      </c>
      <c r="D20" s="75">
        <f>SUM(D14:D19)</f>
        <v>134879</v>
      </c>
      <c r="E20" s="75">
        <f>SUM(E14:E19)</f>
        <v>136629</v>
      </c>
      <c r="F20" s="75">
        <f>SUM(F14:F19)</f>
        <v>145642</v>
      </c>
      <c r="G20" s="100">
        <f>SUM(G14:G19)</f>
        <v>1750</v>
      </c>
      <c r="H20" s="101">
        <f t="shared" si="0"/>
        <v>-6.1884621194435718E-2</v>
      </c>
    </row>
    <row r="21" spans="2:8" ht="34" x14ac:dyDescent="0.2">
      <c r="B21" s="73" t="s">
        <v>20</v>
      </c>
      <c r="C21" s="74" t="s">
        <v>42</v>
      </c>
      <c r="D21" s="75">
        <f>D13-D20</f>
        <v>42606</v>
      </c>
      <c r="E21" s="75">
        <f>E13-E20</f>
        <v>88492</v>
      </c>
      <c r="F21" s="75">
        <f>F13-F20</f>
        <v>-2890</v>
      </c>
      <c r="G21" s="100">
        <f>G13-G20</f>
        <v>45886</v>
      </c>
      <c r="H21" s="101">
        <f t="shared" si="0"/>
        <v>-31.620069204152248</v>
      </c>
    </row>
    <row r="22" spans="2:8" ht="16" x14ac:dyDescent="0.2">
      <c r="B22" s="65" t="s">
        <v>13</v>
      </c>
      <c r="C22" s="66" t="s">
        <v>43</v>
      </c>
      <c r="D22" s="67">
        <v>25461</v>
      </c>
      <c r="E22" s="67">
        <v>25979</v>
      </c>
      <c r="F22" s="67">
        <v>25107</v>
      </c>
      <c r="G22" s="67">
        <f>E22-D22</f>
        <v>518</v>
      </c>
      <c r="H22" s="68">
        <f t="shared" si="0"/>
        <v>3.4731349822758606E-2</v>
      </c>
    </row>
    <row r="23" spans="2:8" ht="34" x14ac:dyDescent="0.2">
      <c r="B23" s="76" t="s">
        <v>14</v>
      </c>
      <c r="C23" s="77" t="s">
        <v>44</v>
      </c>
      <c r="D23" s="78">
        <f>D21-D22</f>
        <v>17145</v>
      </c>
      <c r="E23" s="78">
        <f>E21-E22</f>
        <v>62513</v>
      </c>
      <c r="F23" s="78">
        <f>F21-F22</f>
        <v>-27997</v>
      </c>
      <c r="G23" s="102">
        <f>G21-G22</f>
        <v>45368</v>
      </c>
      <c r="H23" s="103">
        <f t="shared" si="0"/>
        <v>-3.2328463763974713</v>
      </c>
    </row>
    <row r="24" spans="2:8" ht="16" x14ac:dyDescent="0.2">
      <c r="B24" s="79" t="s">
        <v>15</v>
      </c>
      <c r="C24" s="66" t="s">
        <v>44</v>
      </c>
      <c r="D24" s="80">
        <f>D23</f>
        <v>17145</v>
      </c>
      <c r="E24" s="80">
        <f>E23</f>
        <v>62513</v>
      </c>
      <c r="F24" s="80">
        <f>F23</f>
        <v>-27997</v>
      </c>
      <c r="G24" s="80">
        <f>G23</f>
        <v>45368</v>
      </c>
      <c r="H24" s="81">
        <f t="shared" si="0"/>
        <v>-3.2328463763974713</v>
      </c>
    </row>
    <row r="25" spans="2:8" ht="51" x14ac:dyDescent="0.2">
      <c r="B25" s="76" t="s">
        <v>22</v>
      </c>
      <c r="C25" s="77" t="s">
        <v>45</v>
      </c>
      <c r="D25" s="78">
        <f>D24-D8</f>
        <v>7205</v>
      </c>
      <c r="E25" s="78">
        <f>E24-E8</f>
        <v>20568</v>
      </c>
      <c r="F25" s="78">
        <f>F24-F8</f>
        <v>-5794</v>
      </c>
      <c r="G25" s="102">
        <f>G24-G8</f>
        <v>13363</v>
      </c>
      <c r="H25" s="103">
        <f t="shared" si="0"/>
        <v>-4.54987918536417</v>
      </c>
    </row>
    <row r="26" spans="2:8" ht="16" x14ac:dyDescent="0.2">
      <c r="B26" s="82"/>
      <c r="C26" s="83"/>
      <c r="D26" s="84"/>
      <c r="E26" s="84"/>
      <c r="F26" s="84"/>
      <c r="G26" s="84"/>
      <c r="H26" s="85"/>
    </row>
    <row r="27" spans="2:8" ht="16" x14ac:dyDescent="0.2">
      <c r="B27" s="86" t="s">
        <v>34</v>
      </c>
      <c r="C27" s="87"/>
      <c r="D27" s="88"/>
      <c r="E27" s="88"/>
      <c r="F27" s="88"/>
      <c r="G27" s="88"/>
      <c r="H27" s="88"/>
    </row>
    <row r="28" spans="2:8" ht="16" x14ac:dyDescent="0.2">
      <c r="B28" s="89" t="s">
        <v>55</v>
      </c>
      <c r="C28" s="90"/>
      <c r="D28" s="91">
        <f>D13</f>
        <v>177485</v>
      </c>
      <c r="E28" s="91">
        <f>E13</f>
        <v>225121</v>
      </c>
      <c r="F28" s="91">
        <f>F13</f>
        <v>142752</v>
      </c>
      <c r="G28" s="91">
        <f>E28-D28</f>
        <v>47636</v>
      </c>
      <c r="H28" s="92">
        <f>E28/F28-1</f>
        <v>0.57700767765075089</v>
      </c>
    </row>
    <row r="29" spans="2:8" ht="16" x14ac:dyDescent="0.2">
      <c r="B29" s="89" t="s">
        <v>47</v>
      </c>
      <c r="C29" s="90"/>
      <c r="D29" s="93">
        <f>D23/D13</f>
        <v>9.659971265177339E-2</v>
      </c>
      <c r="E29" s="93">
        <f>E23/E13</f>
        <v>0.27768622207612798</v>
      </c>
      <c r="F29" s="93">
        <f>F23/F13</f>
        <v>-0.19612334678323246</v>
      </c>
      <c r="G29" s="93">
        <f>E29-D29</f>
        <v>0.18108650942435459</v>
      </c>
      <c r="H29" s="94">
        <f>E29-F29</f>
        <v>0.47380956885936043</v>
      </c>
    </row>
    <row r="30" spans="2:8" ht="16" x14ac:dyDescent="0.2">
      <c r="B30" s="89" t="s">
        <v>48</v>
      </c>
      <c r="C30" s="90"/>
      <c r="D30" s="93">
        <f>D25/D13</f>
        <v>4.0594979857452744E-2</v>
      </c>
      <c r="E30" s="93">
        <f>E25/E13</f>
        <v>9.1364199697051812E-2</v>
      </c>
      <c r="F30" s="93">
        <f>F25/F13</f>
        <v>-4.0587872674288275E-2</v>
      </c>
      <c r="G30" s="93">
        <f>E30-D30</f>
        <v>5.0769219839599068E-2</v>
      </c>
      <c r="H30" s="94">
        <f>E30-F30</f>
        <v>0.1319520723713401</v>
      </c>
    </row>
    <row r="31" spans="2:8" ht="16" x14ac:dyDescent="0.2">
      <c r="B31" s="89" t="s">
        <v>46</v>
      </c>
      <c r="C31" s="90"/>
      <c r="D31" s="93">
        <f>(SUM(D4:D5,D7,D8)-SUM(D14:D15))/SUM(D4:D5,D7:D8)</f>
        <v>0.18158177398383177</v>
      </c>
      <c r="E31" s="93">
        <f>(SUM(E4:E5,E7,E8)-SUM(E14:E15))/SUM(E4:E5,E7:E8)</f>
        <v>0.33967344629343355</v>
      </c>
      <c r="F31" s="93">
        <f>(SUM(F4:F5,F7,F8)-SUM(F14:F15))/SUM(F4:F5,F7:F8)</f>
        <v>-0.13691966222756249</v>
      </c>
      <c r="G31" s="93">
        <f>E31-D31</f>
        <v>0.15809167230960178</v>
      </c>
      <c r="H31" s="94">
        <f>E31-F31</f>
        <v>0.47659310852099601</v>
      </c>
    </row>
    <row r="32" spans="2:8" x14ac:dyDescent="0.2">
      <c r="D32" s="15"/>
      <c r="E32" s="15"/>
      <c r="F32" s="15"/>
      <c r="G32" s="15"/>
      <c r="H32" s="15"/>
    </row>
    <row r="33" spans="2:8" x14ac:dyDescent="0.2">
      <c r="D33" s="1"/>
      <c r="E33" s="1"/>
      <c r="F33" s="1"/>
      <c r="G33" s="1"/>
      <c r="H33" s="1"/>
    </row>
    <row r="34" spans="2:8" x14ac:dyDescent="0.2">
      <c r="B34" s="62" t="s">
        <v>52</v>
      </c>
      <c r="D34" s="20"/>
      <c r="E34" s="20"/>
      <c r="F34" s="20"/>
      <c r="G34" s="1"/>
      <c r="H34" s="1"/>
    </row>
    <row r="35" spans="2:8" x14ac:dyDescent="0.2">
      <c r="D35" s="20" t="str">
        <f>D3</f>
        <v>Budget FY 25</v>
      </c>
      <c r="E35" s="20" t="str">
        <f>E3</f>
        <v>Actual FY 25</v>
      </c>
      <c r="F35" s="20" t="str">
        <f>F3</f>
        <v>Actual FY 24</v>
      </c>
      <c r="G35" s="1"/>
      <c r="H35" s="1"/>
    </row>
    <row r="36" spans="2:8" x14ac:dyDescent="0.2">
      <c r="B36" t="s">
        <v>53</v>
      </c>
      <c r="D36" s="20">
        <f>D23</f>
        <v>17145</v>
      </c>
      <c r="E36" s="20">
        <f>E23</f>
        <v>62513</v>
      </c>
      <c r="F36" s="20">
        <f>F23</f>
        <v>-27997</v>
      </c>
      <c r="G36" s="1"/>
      <c r="H36" s="1"/>
    </row>
    <row r="37" spans="2:8" x14ac:dyDescent="0.2">
      <c r="B37" t="s">
        <v>40</v>
      </c>
      <c r="D37" s="20">
        <f>SUM(D20,D22)</f>
        <v>160340</v>
      </c>
      <c r="E37" s="20">
        <f>SUM(E20,E22)</f>
        <v>162608</v>
      </c>
      <c r="F37" s="20">
        <f>SUM(F20,F22)</f>
        <v>170749</v>
      </c>
      <c r="G37" s="1"/>
      <c r="H37" s="1"/>
    </row>
    <row r="38" spans="2:8" x14ac:dyDescent="0.2">
      <c r="B38" t="s">
        <v>47</v>
      </c>
      <c r="D38" s="21">
        <f t="shared" ref="D38:F40" si="3">D29</f>
        <v>9.659971265177339E-2</v>
      </c>
      <c r="E38" s="21">
        <f t="shared" si="3"/>
        <v>0.27768622207612798</v>
      </c>
      <c r="F38" s="21">
        <f t="shared" si="3"/>
        <v>-0.19612334678323246</v>
      </c>
      <c r="G38" s="1"/>
      <c r="H38" s="1"/>
    </row>
    <row r="39" spans="2:8" x14ac:dyDescent="0.2">
      <c r="B39" t="s">
        <v>48</v>
      </c>
      <c r="D39" s="21">
        <f t="shared" si="3"/>
        <v>4.0594979857452744E-2</v>
      </c>
      <c r="E39" s="21">
        <f t="shared" si="3"/>
        <v>9.1364199697051812E-2</v>
      </c>
      <c r="F39" s="21">
        <f t="shared" si="3"/>
        <v>-4.0587872674288275E-2</v>
      </c>
      <c r="G39" s="1"/>
      <c r="H39" s="1"/>
    </row>
    <row r="40" spans="2:8" x14ac:dyDescent="0.2">
      <c r="B40" t="s">
        <v>46</v>
      </c>
      <c r="D40" s="21">
        <f t="shared" si="3"/>
        <v>0.18158177398383177</v>
      </c>
      <c r="E40" s="21">
        <f t="shared" si="3"/>
        <v>0.33967344629343355</v>
      </c>
      <c r="F40" s="21">
        <f t="shared" si="3"/>
        <v>-0.13691966222756249</v>
      </c>
      <c r="G40" s="1"/>
      <c r="H40" s="1"/>
    </row>
    <row r="41" spans="2:8" x14ac:dyDescent="0.2">
      <c r="B41" t="s">
        <v>64</v>
      </c>
      <c r="D41" s="57">
        <f>D37+D36</f>
        <v>177485</v>
      </c>
      <c r="E41" s="57">
        <f t="shared" ref="E41:F41" si="4">E37+E36</f>
        <v>225121</v>
      </c>
      <c r="F41" s="57">
        <f t="shared" si="4"/>
        <v>142752</v>
      </c>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AC161E-FD4D-A446-AAFA-1FC7570A8F8E}">
  <sheetPr>
    <tabColor rgb="FFFF0000"/>
  </sheetPr>
  <dimension ref="B1:H41"/>
  <sheetViews>
    <sheetView showGridLines="0" zoomScale="90" zoomScaleNormal="90" workbookViewId="0"/>
  </sheetViews>
  <sheetFormatPr baseColWidth="10" defaultColWidth="11" defaultRowHeight="15" x14ac:dyDescent="0.2"/>
  <cols>
    <col min="2" max="2" width="68.1640625" customWidth="1"/>
    <col min="3" max="3" width="25.6640625" hidden="1" customWidth="1"/>
    <col min="4" max="8" width="15.6640625" customWidth="1"/>
  </cols>
  <sheetData>
    <row r="1" spans="2:8" ht="46" customHeight="1" x14ac:dyDescent="0.2"/>
    <row r="3" spans="2:8" ht="16" x14ac:dyDescent="0.2">
      <c r="B3" s="63" t="s">
        <v>19</v>
      </c>
      <c r="C3" s="64" t="s">
        <v>35</v>
      </c>
      <c r="D3" s="95" t="s">
        <v>18</v>
      </c>
      <c r="E3" s="95" t="s">
        <v>16</v>
      </c>
      <c r="F3" s="95" t="s">
        <v>17</v>
      </c>
      <c r="G3" s="96" t="s">
        <v>32</v>
      </c>
      <c r="H3" s="97" t="s">
        <v>33</v>
      </c>
    </row>
    <row r="4" spans="2:8" ht="16" x14ac:dyDescent="0.2">
      <c r="B4" s="65" t="s">
        <v>0</v>
      </c>
      <c r="C4" s="66" t="s">
        <v>36</v>
      </c>
      <c r="D4" s="67">
        <v>79066</v>
      </c>
      <c r="E4" s="67">
        <v>79820</v>
      </c>
      <c r="F4" s="67">
        <v>75559</v>
      </c>
      <c r="G4" s="67">
        <f>E4-D4</f>
        <v>754</v>
      </c>
      <c r="H4" s="68">
        <f t="shared" ref="H4:H25" si="0">IF(F4=0,0,(E4/F4-1))</f>
        <v>5.6393017377148968E-2</v>
      </c>
    </row>
    <row r="5" spans="2:8" ht="16" x14ac:dyDescent="0.2">
      <c r="B5" s="65" t="s">
        <v>1</v>
      </c>
      <c r="C5" s="66" t="s">
        <v>36</v>
      </c>
      <c r="D5" s="67">
        <v>36774</v>
      </c>
      <c r="E5" s="67">
        <v>30734</v>
      </c>
      <c r="F5" s="67">
        <v>32134</v>
      </c>
      <c r="G5" s="67">
        <f t="shared" ref="G5:G11" si="1">E5-D5</f>
        <v>-6040</v>
      </c>
      <c r="H5" s="68">
        <f t="shared" si="0"/>
        <v>-4.3567560838986719E-2</v>
      </c>
    </row>
    <row r="6" spans="2:8" ht="16" x14ac:dyDescent="0.2">
      <c r="B6" s="65" t="s">
        <v>2</v>
      </c>
      <c r="C6" s="66" t="s">
        <v>37</v>
      </c>
      <c r="D6" s="67">
        <v>10216</v>
      </c>
      <c r="E6" s="67">
        <v>13967</v>
      </c>
      <c r="F6" s="67">
        <v>10239</v>
      </c>
      <c r="G6" s="67">
        <f t="shared" si="1"/>
        <v>3751</v>
      </c>
      <c r="H6" s="68">
        <f t="shared" si="0"/>
        <v>0.36409805645082538</v>
      </c>
    </row>
    <row r="7" spans="2:8" ht="16" x14ac:dyDescent="0.2">
      <c r="B7" s="65" t="s">
        <v>3</v>
      </c>
      <c r="C7" s="66" t="s">
        <v>36</v>
      </c>
      <c r="D7" s="67">
        <v>4666</v>
      </c>
      <c r="E7" s="67">
        <v>4869</v>
      </c>
      <c r="F7" s="67">
        <v>5453</v>
      </c>
      <c r="G7" s="67">
        <f t="shared" si="1"/>
        <v>203</v>
      </c>
      <c r="H7" s="68">
        <f t="shared" si="0"/>
        <v>-0.10709701081973222</v>
      </c>
    </row>
    <row r="8" spans="2:8" ht="16" x14ac:dyDescent="0.2">
      <c r="B8" s="65" t="s">
        <v>4</v>
      </c>
      <c r="C8" s="66" t="s">
        <v>36</v>
      </c>
      <c r="D8" s="67">
        <v>3058</v>
      </c>
      <c r="E8" s="67">
        <v>13909</v>
      </c>
      <c r="F8" s="67">
        <v>16690</v>
      </c>
      <c r="G8" s="67">
        <f t="shared" si="1"/>
        <v>10851</v>
      </c>
      <c r="H8" s="68">
        <f t="shared" si="0"/>
        <v>-0.1666267225883763</v>
      </c>
    </row>
    <row r="9" spans="2:8" ht="16" x14ac:dyDescent="0.2">
      <c r="B9" s="65" t="s">
        <v>5</v>
      </c>
      <c r="C9" s="66" t="s">
        <v>37</v>
      </c>
      <c r="D9" s="67">
        <v>2665</v>
      </c>
      <c r="E9" s="67">
        <v>5759</v>
      </c>
      <c r="F9" s="67">
        <v>5612</v>
      </c>
      <c r="G9" s="67">
        <f t="shared" si="1"/>
        <v>3094</v>
      </c>
      <c r="H9" s="68">
        <f t="shared" si="0"/>
        <v>2.6193870277975817E-2</v>
      </c>
    </row>
    <row r="10" spans="2:8" ht="16" x14ac:dyDescent="0.2">
      <c r="B10" s="65" t="s">
        <v>6</v>
      </c>
      <c r="C10" s="66" t="s">
        <v>37</v>
      </c>
      <c r="D10" s="67">
        <v>5887</v>
      </c>
      <c r="E10" s="67">
        <v>5522</v>
      </c>
      <c r="F10" s="67">
        <v>5970</v>
      </c>
      <c r="G10" s="67">
        <f t="shared" si="1"/>
        <v>-365</v>
      </c>
      <c r="H10" s="68">
        <f t="shared" si="0"/>
        <v>-7.5041876046901157E-2</v>
      </c>
    </row>
    <row r="11" spans="2:8" ht="16" x14ac:dyDescent="0.2">
      <c r="B11" s="65" t="s">
        <v>27</v>
      </c>
      <c r="C11" s="66" t="s">
        <v>37</v>
      </c>
      <c r="D11" s="67">
        <v>0</v>
      </c>
      <c r="E11" s="67">
        <v>0</v>
      </c>
      <c r="F11" s="67">
        <v>0</v>
      </c>
      <c r="G11" s="67">
        <f t="shared" si="1"/>
        <v>0</v>
      </c>
      <c r="H11" s="68">
        <f t="shared" si="0"/>
        <v>0</v>
      </c>
    </row>
    <row r="12" spans="2:8" ht="16" x14ac:dyDescent="0.2">
      <c r="B12" s="65" t="s">
        <v>29</v>
      </c>
      <c r="C12" s="66" t="s">
        <v>37</v>
      </c>
      <c r="D12" s="67"/>
      <c r="E12" s="67"/>
      <c r="F12" s="67"/>
      <c r="G12" s="67"/>
      <c r="H12" s="68">
        <f t="shared" si="0"/>
        <v>0</v>
      </c>
    </row>
    <row r="13" spans="2:8" ht="16" x14ac:dyDescent="0.2">
      <c r="B13" s="69" t="s">
        <v>7</v>
      </c>
      <c r="C13" s="70" t="s">
        <v>38</v>
      </c>
      <c r="D13" s="71">
        <v>142332</v>
      </c>
      <c r="E13" s="71">
        <v>154580</v>
      </c>
      <c r="F13" s="71">
        <v>151657</v>
      </c>
      <c r="G13" s="98">
        <f>SUM(G4:G12)</f>
        <v>12248</v>
      </c>
      <c r="H13" s="99">
        <f t="shared" si="0"/>
        <v>1.9273755909717361E-2</v>
      </c>
    </row>
    <row r="14" spans="2:8" ht="16" x14ac:dyDescent="0.2">
      <c r="B14" s="65" t="s">
        <v>8</v>
      </c>
      <c r="C14" s="66" t="s">
        <v>41</v>
      </c>
      <c r="D14" s="67">
        <v>55651</v>
      </c>
      <c r="E14" s="67">
        <v>48080</v>
      </c>
      <c r="F14" s="67">
        <v>49118</v>
      </c>
      <c r="G14" s="67">
        <f t="shared" ref="G14:G19" si="2">E14-D14</f>
        <v>-7571</v>
      </c>
      <c r="H14" s="68">
        <f t="shared" si="0"/>
        <v>-2.1132782279408735E-2</v>
      </c>
    </row>
    <row r="15" spans="2:8" ht="16" x14ac:dyDescent="0.2">
      <c r="B15" s="65" t="s">
        <v>9</v>
      </c>
      <c r="C15" s="66" t="s">
        <v>41</v>
      </c>
      <c r="D15" s="67">
        <v>53337</v>
      </c>
      <c r="E15" s="67">
        <v>52555</v>
      </c>
      <c r="F15" s="67">
        <v>51176</v>
      </c>
      <c r="G15" s="67">
        <f t="shared" si="2"/>
        <v>-782</v>
      </c>
      <c r="H15" s="68">
        <f t="shared" si="0"/>
        <v>2.6946224792871565E-2</v>
      </c>
    </row>
    <row r="16" spans="2:8" ht="16" x14ac:dyDescent="0.2">
      <c r="B16" s="65" t="s">
        <v>10</v>
      </c>
      <c r="C16" s="66" t="s">
        <v>39</v>
      </c>
      <c r="D16" s="67">
        <v>2382</v>
      </c>
      <c r="E16" s="67">
        <v>2365</v>
      </c>
      <c r="F16" s="67">
        <v>1497</v>
      </c>
      <c r="G16" s="67">
        <f t="shared" si="2"/>
        <v>-17</v>
      </c>
      <c r="H16" s="68">
        <f t="shared" si="0"/>
        <v>0.57982631930527728</v>
      </c>
    </row>
    <row r="17" spans="2:8" ht="16" x14ac:dyDescent="0.2">
      <c r="B17" s="65" t="s">
        <v>11</v>
      </c>
      <c r="C17" s="66" t="s">
        <v>39</v>
      </c>
      <c r="D17" s="67">
        <v>4783</v>
      </c>
      <c r="E17" s="67">
        <v>5108</v>
      </c>
      <c r="F17" s="67">
        <v>7269</v>
      </c>
      <c r="G17" s="67">
        <f t="shared" si="2"/>
        <v>325</v>
      </c>
      <c r="H17" s="68">
        <f t="shared" si="0"/>
        <v>-0.29728986105379007</v>
      </c>
    </row>
    <row r="18" spans="2:8" ht="16" x14ac:dyDescent="0.2">
      <c r="B18" s="65" t="s">
        <v>12</v>
      </c>
      <c r="C18" s="66" t="s">
        <v>39</v>
      </c>
      <c r="D18" s="67">
        <v>277</v>
      </c>
      <c r="E18" s="67">
        <v>883</v>
      </c>
      <c r="F18" s="67">
        <v>1304</v>
      </c>
      <c r="G18" s="67">
        <f t="shared" si="2"/>
        <v>606</v>
      </c>
      <c r="H18" s="68">
        <f t="shared" si="0"/>
        <v>-0.32285276073619629</v>
      </c>
    </row>
    <row r="19" spans="2:8" ht="34" x14ac:dyDescent="0.2">
      <c r="B19" s="72" t="s">
        <v>25</v>
      </c>
      <c r="C19" s="66" t="s">
        <v>39</v>
      </c>
      <c r="D19" s="67">
        <v>0</v>
      </c>
      <c r="E19" s="67">
        <v>1</v>
      </c>
      <c r="F19" s="67">
        <v>0</v>
      </c>
      <c r="G19" s="67">
        <f t="shared" si="2"/>
        <v>1</v>
      </c>
      <c r="H19" s="68">
        <f t="shared" si="0"/>
        <v>0</v>
      </c>
    </row>
    <row r="20" spans="2:8" ht="34" x14ac:dyDescent="0.2">
      <c r="B20" s="73" t="s">
        <v>21</v>
      </c>
      <c r="C20" s="74" t="s">
        <v>40</v>
      </c>
      <c r="D20" s="75">
        <v>116430</v>
      </c>
      <c r="E20" s="75">
        <v>108992</v>
      </c>
      <c r="F20" s="75">
        <v>110364</v>
      </c>
      <c r="G20" s="100">
        <f>SUM(G14:G19)</f>
        <v>-7438</v>
      </c>
      <c r="H20" s="101">
        <f t="shared" si="0"/>
        <v>-1.2431590011235505E-2</v>
      </c>
    </row>
    <row r="21" spans="2:8" ht="34" x14ac:dyDescent="0.2">
      <c r="B21" s="73" t="s">
        <v>20</v>
      </c>
      <c r="C21" s="74" t="s">
        <v>42</v>
      </c>
      <c r="D21" s="75">
        <v>25902</v>
      </c>
      <c r="E21" s="75">
        <v>45588</v>
      </c>
      <c r="F21" s="75">
        <v>41293</v>
      </c>
      <c r="G21" s="100">
        <f>G13-G20</f>
        <v>19686</v>
      </c>
      <c r="H21" s="101">
        <f t="shared" si="0"/>
        <v>0.10401278667086422</v>
      </c>
    </row>
    <row r="22" spans="2:8" ht="16" x14ac:dyDescent="0.2">
      <c r="B22" s="65" t="s">
        <v>13</v>
      </c>
      <c r="C22" s="66" t="s">
        <v>43</v>
      </c>
      <c r="D22" s="67">
        <v>31095</v>
      </c>
      <c r="E22" s="67">
        <v>30411</v>
      </c>
      <c r="F22" s="67">
        <v>28240</v>
      </c>
      <c r="G22" s="67">
        <f>E22-D22</f>
        <v>-684</v>
      </c>
      <c r="H22" s="68">
        <f t="shared" si="0"/>
        <v>7.68767705382436E-2</v>
      </c>
    </row>
    <row r="23" spans="2:8" ht="34" x14ac:dyDescent="0.2">
      <c r="B23" s="76" t="s">
        <v>14</v>
      </c>
      <c r="C23" s="77" t="s">
        <v>44</v>
      </c>
      <c r="D23" s="78">
        <v>-5193</v>
      </c>
      <c r="E23" s="78">
        <v>15177</v>
      </c>
      <c r="F23" s="78">
        <v>13053</v>
      </c>
      <c r="G23" s="102">
        <f>G21-G22</f>
        <v>20370</v>
      </c>
      <c r="H23" s="103">
        <f t="shared" si="0"/>
        <v>0.16272121351413471</v>
      </c>
    </row>
    <row r="24" spans="2:8" ht="16" x14ac:dyDescent="0.2">
      <c r="B24" s="79" t="s">
        <v>15</v>
      </c>
      <c r="C24" s="66" t="s">
        <v>44</v>
      </c>
      <c r="D24" s="80">
        <v>-5193</v>
      </c>
      <c r="E24" s="80">
        <v>15177</v>
      </c>
      <c r="F24" s="80">
        <v>13053</v>
      </c>
      <c r="G24" s="80">
        <f>G23</f>
        <v>20370</v>
      </c>
      <c r="H24" s="81">
        <f t="shared" si="0"/>
        <v>0.16272121351413471</v>
      </c>
    </row>
    <row r="25" spans="2:8" ht="51" x14ac:dyDescent="0.2">
      <c r="B25" s="76" t="s">
        <v>22</v>
      </c>
      <c r="C25" s="77" t="s">
        <v>45</v>
      </c>
      <c r="D25" s="78">
        <v>-8251</v>
      </c>
      <c r="E25" s="78">
        <v>1268</v>
      </c>
      <c r="F25" s="78">
        <v>-3637</v>
      </c>
      <c r="G25" s="102">
        <f>G24-G8</f>
        <v>9519</v>
      </c>
      <c r="H25" s="103">
        <f t="shared" si="0"/>
        <v>-1.3486389881770691</v>
      </c>
    </row>
    <row r="26" spans="2:8" ht="16" x14ac:dyDescent="0.2">
      <c r="B26" s="82"/>
      <c r="C26" s="83"/>
      <c r="D26" s="84"/>
      <c r="E26" s="84"/>
      <c r="F26" s="84"/>
      <c r="G26" s="84"/>
      <c r="H26" s="85"/>
    </row>
    <row r="27" spans="2:8" ht="16" x14ac:dyDescent="0.2">
      <c r="B27" s="86" t="s">
        <v>34</v>
      </c>
      <c r="C27" s="87"/>
      <c r="D27" s="88"/>
      <c r="E27" s="88"/>
      <c r="F27" s="88"/>
      <c r="G27" s="88"/>
      <c r="H27" s="88"/>
    </row>
    <row r="28" spans="2:8" ht="16" x14ac:dyDescent="0.2">
      <c r="B28" s="89" t="s">
        <v>55</v>
      </c>
      <c r="C28" s="90"/>
      <c r="D28" s="91">
        <v>142332</v>
      </c>
      <c r="E28" s="91">
        <v>154580</v>
      </c>
      <c r="F28" s="91">
        <v>151657</v>
      </c>
      <c r="G28" s="91">
        <f>SUM(G24:G27)</f>
        <v>29889</v>
      </c>
      <c r="H28" s="92">
        <f t="shared" ref="H28" si="3">E28/F28-1</f>
        <v>1.9273755909717361E-2</v>
      </c>
    </row>
    <row r="29" spans="2:8" ht="16" x14ac:dyDescent="0.2">
      <c r="B29" s="89" t="s">
        <v>47</v>
      </c>
      <c r="C29" s="90"/>
      <c r="D29" s="93">
        <v>-3.6485119298541438E-2</v>
      </c>
      <c r="E29" s="93">
        <v>9.8182171044119554E-2</v>
      </c>
      <c r="F29" s="93">
        <v>8.6069221994368866E-2</v>
      </c>
      <c r="G29" s="93">
        <f>E29-D29</f>
        <v>0.13466729034266101</v>
      </c>
      <c r="H29" s="94">
        <f>E29-F29</f>
        <v>1.2112949049750688E-2</v>
      </c>
    </row>
    <row r="30" spans="2:8" ht="16" x14ac:dyDescent="0.2">
      <c r="B30" s="89" t="s">
        <v>48</v>
      </c>
      <c r="C30" s="90"/>
      <c r="D30" s="93">
        <v>-5.7970098080544083E-2</v>
      </c>
      <c r="E30" s="93">
        <v>8.2028722991331349E-3</v>
      </c>
      <c r="F30" s="93">
        <v>-2.3981748287253472E-2</v>
      </c>
      <c r="G30" s="93">
        <f>E30-D30</f>
        <v>6.6172970379677218E-2</v>
      </c>
      <c r="H30" s="94">
        <f>E30-F30</f>
        <v>3.2184620586386603E-2</v>
      </c>
    </row>
    <row r="31" spans="2:8" ht="16" x14ac:dyDescent="0.2">
      <c r="B31" s="89" t="s">
        <v>46</v>
      </c>
      <c r="C31" s="90"/>
      <c r="D31" s="93">
        <v>0.11796316079116895</v>
      </c>
      <c r="E31" s="93">
        <v>0.22188630810626914</v>
      </c>
      <c r="F31" s="93">
        <v>0.22753319572383623</v>
      </c>
      <c r="G31" s="93">
        <f>E31-D31</f>
        <v>0.10392314731510019</v>
      </c>
      <c r="H31" s="94">
        <f>E31-F31</f>
        <v>-5.6468876175670979E-3</v>
      </c>
    </row>
    <row r="32" spans="2:8" x14ac:dyDescent="0.2">
      <c r="D32" s="15"/>
      <c r="E32" s="15"/>
      <c r="F32" s="15"/>
      <c r="G32" s="15"/>
      <c r="H32" s="15"/>
    </row>
    <row r="33" spans="2:8" x14ac:dyDescent="0.2">
      <c r="D33" s="1"/>
      <c r="E33" s="1"/>
      <c r="F33" s="1"/>
      <c r="G33" s="1"/>
      <c r="H33" s="1"/>
    </row>
    <row r="34" spans="2:8" x14ac:dyDescent="0.2">
      <c r="B34" s="62" t="s">
        <v>52</v>
      </c>
      <c r="D34" s="20"/>
      <c r="E34" s="20"/>
      <c r="F34" s="20"/>
      <c r="G34" s="1"/>
      <c r="H34" s="1"/>
    </row>
    <row r="35" spans="2:8" x14ac:dyDescent="0.2">
      <c r="D35" s="20" t="str">
        <f>D3</f>
        <v>Budget FY 25</v>
      </c>
      <c r="E35" s="20" t="str">
        <f>E3</f>
        <v>Actual FY 25</v>
      </c>
      <c r="F35" s="20" t="str">
        <f>F3</f>
        <v>Actual FY 24</v>
      </c>
      <c r="G35" s="1"/>
      <c r="H35" s="1"/>
    </row>
    <row r="36" spans="2:8" x14ac:dyDescent="0.2">
      <c r="B36" t="s">
        <v>53</v>
      </c>
      <c r="D36" s="20">
        <f>D23</f>
        <v>-5193</v>
      </c>
      <c r="E36" s="20">
        <f>E23</f>
        <v>15177</v>
      </c>
      <c r="F36" s="20">
        <f>F23</f>
        <v>13053</v>
      </c>
      <c r="G36" s="1"/>
      <c r="H36" s="1"/>
    </row>
    <row r="37" spans="2:8" x14ac:dyDescent="0.2">
      <c r="B37" t="s">
        <v>40</v>
      </c>
      <c r="D37" s="20">
        <f>SUM(D20,D22)</f>
        <v>147525</v>
      </c>
      <c r="E37" s="20">
        <f>SUM(E20,E22)</f>
        <v>139403</v>
      </c>
      <c r="F37" s="20">
        <f>SUM(F20,F22)</f>
        <v>138604</v>
      </c>
      <c r="G37" s="1"/>
      <c r="H37" s="1"/>
    </row>
    <row r="38" spans="2:8" x14ac:dyDescent="0.2">
      <c r="B38" t="s">
        <v>47</v>
      </c>
      <c r="D38" s="21">
        <f t="shared" ref="D38:F40" si="4">D29</f>
        <v>-3.6485119298541438E-2</v>
      </c>
      <c r="E38" s="21">
        <f t="shared" si="4"/>
        <v>9.8182171044119554E-2</v>
      </c>
      <c r="F38" s="21">
        <f t="shared" si="4"/>
        <v>8.6069221994368866E-2</v>
      </c>
      <c r="G38" s="1"/>
      <c r="H38" s="1"/>
    </row>
    <row r="39" spans="2:8" x14ac:dyDescent="0.2">
      <c r="B39" t="s">
        <v>48</v>
      </c>
      <c r="D39" s="21">
        <f t="shared" si="4"/>
        <v>-5.7970098080544083E-2</v>
      </c>
      <c r="E39" s="21">
        <f t="shared" si="4"/>
        <v>8.2028722991331349E-3</v>
      </c>
      <c r="F39" s="21">
        <f t="shared" si="4"/>
        <v>-2.3981748287253472E-2</v>
      </c>
      <c r="G39" s="1"/>
      <c r="H39" s="1"/>
    </row>
    <row r="40" spans="2:8" x14ac:dyDescent="0.2">
      <c r="B40" t="s">
        <v>46</v>
      </c>
      <c r="D40" s="21">
        <f t="shared" si="4"/>
        <v>0.11796316079116895</v>
      </c>
      <c r="E40" s="21">
        <f t="shared" si="4"/>
        <v>0.22188630810626914</v>
      </c>
      <c r="F40" s="21">
        <f t="shared" si="4"/>
        <v>0.22753319572383623</v>
      </c>
      <c r="G40" s="1"/>
      <c r="H40" s="1"/>
    </row>
    <row r="41" spans="2:8" x14ac:dyDescent="0.2">
      <c r="B41" t="s">
        <v>64</v>
      </c>
      <c r="D41" s="57">
        <f>D37+D36</f>
        <v>142332</v>
      </c>
      <c r="E41" s="57">
        <f t="shared" ref="E41:F41" si="5">E37+E36</f>
        <v>154580</v>
      </c>
      <c r="F41" s="57">
        <f t="shared" si="5"/>
        <v>151657</v>
      </c>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22A23B-F2AD-3745-BA04-9BE206398CC5}">
  <sheetPr>
    <tabColor theme="0"/>
  </sheetPr>
  <dimension ref="B1:H41"/>
  <sheetViews>
    <sheetView showGridLines="0" zoomScale="90" zoomScaleNormal="90" workbookViewId="0"/>
  </sheetViews>
  <sheetFormatPr baseColWidth="10" defaultColWidth="11" defaultRowHeight="15" x14ac:dyDescent="0.2"/>
  <cols>
    <col min="2" max="2" width="68.1640625" customWidth="1"/>
    <col min="3" max="3" width="25.6640625" hidden="1" customWidth="1"/>
    <col min="4" max="8" width="15.6640625" customWidth="1"/>
  </cols>
  <sheetData>
    <row r="1" spans="2:8" ht="46" customHeight="1" x14ac:dyDescent="0.2"/>
    <row r="3" spans="2:8" ht="16" x14ac:dyDescent="0.2">
      <c r="B3" s="63" t="s">
        <v>19</v>
      </c>
      <c r="C3" s="64" t="s">
        <v>35</v>
      </c>
      <c r="D3" s="95" t="s">
        <v>18</v>
      </c>
      <c r="E3" s="95" t="s">
        <v>16</v>
      </c>
      <c r="F3" s="95" t="s">
        <v>17</v>
      </c>
      <c r="G3" s="96" t="s">
        <v>32</v>
      </c>
      <c r="H3" s="97" t="s">
        <v>33</v>
      </c>
    </row>
    <row r="4" spans="2:8" ht="16" x14ac:dyDescent="0.2">
      <c r="B4" s="65" t="s">
        <v>0</v>
      </c>
      <c r="C4" s="66" t="s">
        <v>36</v>
      </c>
      <c r="D4" s="67">
        <v>70681</v>
      </c>
      <c r="E4" s="67">
        <v>70552</v>
      </c>
      <c r="F4" s="67">
        <v>66136</v>
      </c>
      <c r="G4" s="67">
        <f>E4-D4</f>
        <v>-129</v>
      </c>
      <c r="H4" s="68">
        <f t="shared" ref="H4:H25" si="0">IF(F4=0,0,(E4/F4-1))</f>
        <v>6.6771501149147205E-2</v>
      </c>
    </row>
    <row r="5" spans="2:8" ht="16" x14ac:dyDescent="0.2">
      <c r="B5" s="65" t="s">
        <v>1</v>
      </c>
      <c r="C5" s="66" t="s">
        <v>36</v>
      </c>
      <c r="D5" s="67">
        <v>14655</v>
      </c>
      <c r="E5" s="67">
        <v>16689</v>
      </c>
      <c r="F5" s="67">
        <v>15565</v>
      </c>
      <c r="G5" s="67">
        <f t="shared" ref="G5:G11" si="1">E5-D5</f>
        <v>2034</v>
      </c>
      <c r="H5" s="68">
        <f t="shared" si="0"/>
        <v>7.2213299068422776E-2</v>
      </c>
    </row>
    <row r="6" spans="2:8" ht="16" x14ac:dyDescent="0.2">
      <c r="B6" s="65" t="s">
        <v>2</v>
      </c>
      <c r="C6" s="66" t="s">
        <v>37</v>
      </c>
      <c r="D6" s="67">
        <v>16941</v>
      </c>
      <c r="E6" s="67">
        <v>15347</v>
      </c>
      <c r="F6" s="67">
        <v>16230</v>
      </c>
      <c r="G6" s="67">
        <f t="shared" si="1"/>
        <v>-1594</v>
      </c>
      <c r="H6" s="68">
        <f t="shared" si="0"/>
        <v>-5.440542205791743E-2</v>
      </c>
    </row>
    <row r="7" spans="2:8" ht="16" x14ac:dyDescent="0.2">
      <c r="B7" s="65" t="s">
        <v>3</v>
      </c>
      <c r="C7" s="66" t="s">
        <v>36</v>
      </c>
      <c r="D7" s="67">
        <v>5014</v>
      </c>
      <c r="E7" s="67">
        <v>4615</v>
      </c>
      <c r="F7" s="67">
        <v>5676</v>
      </c>
      <c r="G7" s="67">
        <f t="shared" si="1"/>
        <v>-399</v>
      </c>
      <c r="H7" s="68">
        <f t="shared" si="0"/>
        <v>-0.18692741367159971</v>
      </c>
    </row>
    <row r="8" spans="2:8" ht="16" x14ac:dyDescent="0.2">
      <c r="B8" s="65" t="s">
        <v>4</v>
      </c>
      <c r="C8" s="66" t="s">
        <v>36</v>
      </c>
      <c r="D8" s="67">
        <v>2897</v>
      </c>
      <c r="E8" s="67">
        <v>8612</v>
      </c>
      <c r="F8" s="67">
        <v>16212</v>
      </c>
      <c r="G8" s="67">
        <f t="shared" si="1"/>
        <v>5715</v>
      </c>
      <c r="H8" s="68">
        <f t="shared" si="0"/>
        <v>-0.46878855169010614</v>
      </c>
    </row>
    <row r="9" spans="2:8" ht="16" x14ac:dyDescent="0.2">
      <c r="B9" s="65" t="s">
        <v>5</v>
      </c>
      <c r="C9" s="66" t="s">
        <v>37</v>
      </c>
      <c r="D9" s="67">
        <v>3223</v>
      </c>
      <c r="E9" s="67">
        <v>6103</v>
      </c>
      <c r="F9" s="67">
        <v>5626</v>
      </c>
      <c r="G9" s="67">
        <f t="shared" si="1"/>
        <v>2880</v>
      </c>
      <c r="H9" s="68">
        <f t="shared" si="0"/>
        <v>8.4784927124066822E-2</v>
      </c>
    </row>
    <row r="10" spans="2:8" ht="16" x14ac:dyDescent="0.2">
      <c r="B10" s="65" t="s">
        <v>6</v>
      </c>
      <c r="C10" s="66" t="s">
        <v>37</v>
      </c>
      <c r="D10" s="67">
        <v>17920</v>
      </c>
      <c r="E10" s="67">
        <v>17655</v>
      </c>
      <c r="F10" s="67">
        <v>17608</v>
      </c>
      <c r="G10" s="67">
        <f t="shared" si="1"/>
        <v>-265</v>
      </c>
      <c r="H10" s="68">
        <f t="shared" si="0"/>
        <v>2.6692412539754962E-3</v>
      </c>
    </row>
    <row r="11" spans="2:8" ht="16" x14ac:dyDescent="0.2">
      <c r="B11" s="65" t="s">
        <v>27</v>
      </c>
      <c r="C11" s="66" t="s">
        <v>37</v>
      </c>
      <c r="D11" s="67">
        <v>1200</v>
      </c>
      <c r="E11" s="67">
        <v>19</v>
      </c>
      <c r="F11" s="67">
        <v>-6683</v>
      </c>
      <c r="G11" s="67">
        <f t="shared" si="1"/>
        <v>-1181</v>
      </c>
      <c r="H11" s="68">
        <f t="shared" si="0"/>
        <v>-1.002843034565315</v>
      </c>
    </row>
    <row r="12" spans="2:8" ht="16" x14ac:dyDescent="0.2">
      <c r="B12" s="65" t="s">
        <v>29</v>
      </c>
      <c r="C12" s="66" t="s">
        <v>37</v>
      </c>
      <c r="D12" s="67"/>
      <c r="E12" s="67"/>
      <c r="F12" s="67"/>
      <c r="G12" s="67"/>
      <c r="H12" s="68">
        <f t="shared" si="0"/>
        <v>0</v>
      </c>
    </row>
    <row r="13" spans="2:8" ht="16" x14ac:dyDescent="0.2">
      <c r="B13" s="69" t="s">
        <v>7</v>
      </c>
      <c r="C13" s="70" t="s">
        <v>38</v>
      </c>
      <c r="D13" s="71">
        <v>132531</v>
      </c>
      <c r="E13" s="71">
        <v>139592</v>
      </c>
      <c r="F13" s="71">
        <v>136370</v>
      </c>
      <c r="G13" s="98">
        <f>SUM(G4:G12)</f>
        <v>7061</v>
      </c>
      <c r="H13" s="99">
        <f t="shared" si="0"/>
        <v>2.3626897411454184E-2</v>
      </c>
    </row>
    <row r="14" spans="2:8" ht="16" x14ac:dyDescent="0.2">
      <c r="B14" s="65" t="s">
        <v>8</v>
      </c>
      <c r="C14" s="66" t="s">
        <v>41</v>
      </c>
      <c r="D14" s="67">
        <v>53223</v>
      </c>
      <c r="E14" s="67">
        <v>52968</v>
      </c>
      <c r="F14" s="67">
        <v>47706</v>
      </c>
      <c r="G14" s="67">
        <f t="shared" ref="G14:G19" si="2">E14-D14</f>
        <v>-255</v>
      </c>
      <c r="H14" s="68">
        <f t="shared" si="0"/>
        <v>0.11030059112061386</v>
      </c>
    </row>
    <row r="15" spans="2:8" ht="16" x14ac:dyDescent="0.2">
      <c r="B15" s="65" t="s">
        <v>9</v>
      </c>
      <c r="C15" s="66" t="s">
        <v>41</v>
      </c>
      <c r="D15" s="67">
        <v>48496</v>
      </c>
      <c r="E15" s="67">
        <v>51840</v>
      </c>
      <c r="F15" s="67">
        <v>50408</v>
      </c>
      <c r="G15" s="67">
        <f t="shared" si="2"/>
        <v>3344</v>
      </c>
      <c r="H15" s="68">
        <f t="shared" si="0"/>
        <v>2.8408189176321264E-2</v>
      </c>
    </row>
    <row r="16" spans="2:8" ht="16" x14ac:dyDescent="0.2">
      <c r="B16" s="65" t="s">
        <v>10</v>
      </c>
      <c r="C16" s="66" t="s">
        <v>39</v>
      </c>
      <c r="D16" s="67">
        <v>3014</v>
      </c>
      <c r="E16" s="67">
        <v>1745</v>
      </c>
      <c r="F16" s="67">
        <v>1806</v>
      </c>
      <c r="G16" s="67">
        <f t="shared" si="2"/>
        <v>-1269</v>
      </c>
      <c r="H16" s="68">
        <f t="shared" si="0"/>
        <v>-3.3776301218161664E-2</v>
      </c>
    </row>
    <row r="17" spans="2:8" ht="16" x14ac:dyDescent="0.2">
      <c r="B17" s="65" t="s">
        <v>11</v>
      </c>
      <c r="C17" s="66" t="s">
        <v>39</v>
      </c>
      <c r="D17" s="67">
        <v>5041</v>
      </c>
      <c r="E17" s="67">
        <v>4717</v>
      </c>
      <c r="F17" s="67">
        <v>4807</v>
      </c>
      <c r="G17" s="67">
        <f t="shared" si="2"/>
        <v>-324</v>
      </c>
      <c r="H17" s="68">
        <f t="shared" si="0"/>
        <v>-1.8722696068233846E-2</v>
      </c>
    </row>
    <row r="18" spans="2:8" ht="16" x14ac:dyDescent="0.2">
      <c r="B18" s="65" t="s">
        <v>12</v>
      </c>
      <c r="C18" s="66" t="s">
        <v>39</v>
      </c>
      <c r="D18" s="67">
        <v>1685</v>
      </c>
      <c r="E18" s="67">
        <v>1946</v>
      </c>
      <c r="F18" s="67">
        <v>2538</v>
      </c>
      <c r="G18" s="67">
        <f t="shared" si="2"/>
        <v>261</v>
      </c>
      <c r="H18" s="68">
        <f t="shared" si="0"/>
        <v>-0.23325453112687156</v>
      </c>
    </row>
    <row r="19" spans="2:8" ht="34" x14ac:dyDescent="0.2">
      <c r="B19" s="72" t="s">
        <v>25</v>
      </c>
      <c r="C19" s="66" t="s">
        <v>39</v>
      </c>
      <c r="D19" s="67">
        <v>0</v>
      </c>
      <c r="E19" s="67">
        <v>0</v>
      </c>
      <c r="F19" s="67">
        <v>0</v>
      </c>
      <c r="G19" s="67">
        <f t="shared" si="2"/>
        <v>0</v>
      </c>
      <c r="H19" s="68">
        <f t="shared" si="0"/>
        <v>0</v>
      </c>
    </row>
    <row r="20" spans="2:8" ht="34" x14ac:dyDescent="0.2">
      <c r="B20" s="73" t="s">
        <v>21</v>
      </c>
      <c r="C20" s="74" t="s">
        <v>40</v>
      </c>
      <c r="D20" s="75">
        <v>111459</v>
      </c>
      <c r="E20" s="75">
        <v>113216</v>
      </c>
      <c r="F20" s="75">
        <v>107265</v>
      </c>
      <c r="G20" s="100">
        <f>SUM(G14:G19)</f>
        <v>1757</v>
      </c>
      <c r="H20" s="101">
        <f t="shared" si="0"/>
        <v>5.5479420127721113E-2</v>
      </c>
    </row>
    <row r="21" spans="2:8" ht="34" x14ac:dyDescent="0.2">
      <c r="B21" s="73" t="s">
        <v>20</v>
      </c>
      <c r="C21" s="74" t="s">
        <v>42</v>
      </c>
      <c r="D21" s="75">
        <v>21072</v>
      </c>
      <c r="E21" s="75">
        <v>26376</v>
      </c>
      <c r="F21" s="75">
        <v>29105</v>
      </c>
      <c r="G21" s="100">
        <f>G13-G20</f>
        <v>5304</v>
      </c>
      <c r="H21" s="101">
        <f t="shared" si="0"/>
        <v>-9.3763958082803689E-2</v>
      </c>
    </row>
    <row r="22" spans="2:8" ht="16" x14ac:dyDescent="0.2">
      <c r="B22" s="65" t="s">
        <v>13</v>
      </c>
      <c r="C22" s="66" t="s">
        <v>43</v>
      </c>
      <c r="D22" s="67">
        <v>16947.5</v>
      </c>
      <c r="E22" s="67">
        <v>16413</v>
      </c>
      <c r="F22" s="67">
        <v>15348</v>
      </c>
      <c r="G22" s="67">
        <f>E22-D22</f>
        <v>-534.5</v>
      </c>
      <c r="H22" s="68">
        <f t="shared" si="0"/>
        <v>6.9390148553557518E-2</v>
      </c>
    </row>
    <row r="23" spans="2:8" ht="34" x14ac:dyDescent="0.2">
      <c r="B23" s="76" t="s">
        <v>14</v>
      </c>
      <c r="C23" s="77" t="s">
        <v>44</v>
      </c>
      <c r="D23" s="78">
        <v>4124.5</v>
      </c>
      <c r="E23" s="78">
        <v>9963</v>
      </c>
      <c r="F23" s="78">
        <v>13757</v>
      </c>
      <c r="G23" s="102">
        <f>G21-G22</f>
        <v>5838.5</v>
      </c>
      <c r="H23" s="103">
        <f t="shared" si="0"/>
        <v>-0.27578687213782072</v>
      </c>
    </row>
    <row r="24" spans="2:8" ht="16" x14ac:dyDescent="0.2">
      <c r="B24" s="79" t="s">
        <v>15</v>
      </c>
      <c r="C24" s="66" t="s">
        <v>44</v>
      </c>
      <c r="D24" s="80">
        <v>4124.5</v>
      </c>
      <c r="E24" s="80">
        <v>9963</v>
      </c>
      <c r="F24" s="80">
        <v>13757</v>
      </c>
      <c r="G24" s="80">
        <f>G23</f>
        <v>5838.5</v>
      </c>
      <c r="H24" s="81">
        <f t="shared" si="0"/>
        <v>-0.27578687213782072</v>
      </c>
    </row>
    <row r="25" spans="2:8" ht="51" x14ac:dyDescent="0.2">
      <c r="B25" s="76" t="s">
        <v>22</v>
      </c>
      <c r="C25" s="77" t="s">
        <v>45</v>
      </c>
      <c r="D25" s="78">
        <v>1227.5</v>
      </c>
      <c r="E25" s="78">
        <v>1351</v>
      </c>
      <c r="F25" s="78">
        <v>-2455</v>
      </c>
      <c r="G25" s="102">
        <f>G24-G8</f>
        <v>123.5</v>
      </c>
      <c r="H25" s="103">
        <f t="shared" si="0"/>
        <v>-1.55030549898167</v>
      </c>
    </row>
    <row r="26" spans="2:8" ht="16" x14ac:dyDescent="0.2">
      <c r="B26" s="82"/>
      <c r="C26" s="83"/>
      <c r="D26" s="84"/>
      <c r="E26" s="84"/>
      <c r="F26" s="84"/>
      <c r="G26" s="84"/>
      <c r="H26" s="85"/>
    </row>
    <row r="27" spans="2:8" ht="16" x14ac:dyDescent="0.2">
      <c r="B27" s="86" t="s">
        <v>34</v>
      </c>
      <c r="C27" s="87"/>
      <c r="D27" s="88"/>
      <c r="E27" s="88"/>
      <c r="F27" s="88"/>
      <c r="G27" s="88"/>
      <c r="H27" s="88"/>
    </row>
    <row r="28" spans="2:8" ht="16" x14ac:dyDescent="0.2">
      <c r="B28" s="89" t="s">
        <v>55</v>
      </c>
      <c r="C28" s="90"/>
      <c r="D28" s="91">
        <v>132531</v>
      </c>
      <c r="E28" s="91">
        <v>139592</v>
      </c>
      <c r="F28" s="91">
        <v>136370</v>
      </c>
      <c r="G28" s="91">
        <f>SUM(G24:G27)</f>
        <v>5962</v>
      </c>
      <c r="H28" s="92">
        <f t="shared" ref="H28" si="3">E28/F28-1</f>
        <v>2.3626897411454184E-2</v>
      </c>
    </row>
    <row r="29" spans="2:8" ht="16" x14ac:dyDescent="0.2">
      <c r="B29" s="89" t="s">
        <v>47</v>
      </c>
      <c r="C29" s="90"/>
      <c r="D29" s="93">
        <v>3.1121020742316891E-2</v>
      </c>
      <c r="E29" s="93">
        <v>7.1372284944695968E-2</v>
      </c>
      <c r="F29" s="93">
        <v>0.10087995893524969</v>
      </c>
      <c r="G29" s="93">
        <f>E29-D29</f>
        <v>4.0251264202379081E-2</v>
      </c>
      <c r="H29" s="94">
        <f>E29-F29</f>
        <v>-2.9507673990553721E-2</v>
      </c>
    </row>
    <row r="30" spans="2:8" ht="16" x14ac:dyDescent="0.2">
      <c r="B30" s="89" t="s">
        <v>48</v>
      </c>
      <c r="C30" s="90"/>
      <c r="D30" s="93">
        <v>9.2619839886517123E-3</v>
      </c>
      <c r="E30" s="93">
        <v>9.6782050547309303E-3</v>
      </c>
      <c r="F30" s="93">
        <v>-1.8002493216983207E-2</v>
      </c>
      <c r="G30" s="93">
        <f>E30-D30</f>
        <v>4.1622106607921809E-4</v>
      </c>
      <c r="H30" s="94">
        <f>E30-F30</f>
        <v>2.7680698271714137E-2</v>
      </c>
    </row>
    <row r="31" spans="2:8" ht="16" x14ac:dyDescent="0.2">
      <c r="B31" s="89" t="s">
        <v>46</v>
      </c>
      <c r="C31" s="90"/>
      <c r="D31" s="93">
        <v>-9.085546988106856E-2</v>
      </c>
      <c r="E31" s="93">
        <v>-4.3197834136242383E-2</v>
      </c>
      <c r="F31" s="93">
        <v>5.2853102163357112E-2</v>
      </c>
      <c r="G31" s="93">
        <f>E31-D31</f>
        <v>4.7657635744826177E-2</v>
      </c>
      <c r="H31" s="94">
        <f>E31-F31</f>
        <v>-9.6050936299599488E-2</v>
      </c>
    </row>
    <row r="32" spans="2:8" x14ac:dyDescent="0.2">
      <c r="D32" s="15"/>
      <c r="E32" s="15"/>
      <c r="F32" s="15"/>
      <c r="G32" s="15"/>
      <c r="H32" s="15"/>
    </row>
    <row r="33" spans="2:8" x14ac:dyDescent="0.2">
      <c r="D33" s="1"/>
      <c r="E33" s="1"/>
      <c r="F33" s="1"/>
      <c r="G33" s="1"/>
      <c r="H33" s="1"/>
    </row>
    <row r="34" spans="2:8" x14ac:dyDescent="0.2">
      <c r="B34" s="62" t="s">
        <v>52</v>
      </c>
      <c r="D34" s="20"/>
      <c r="E34" s="20"/>
      <c r="F34" s="20"/>
      <c r="G34" s="1"/>
      <c r="H34" s="1"/>
    </row>
    <row r="35" spans="2:8" x14ac:dyDescent="0.2">
      <c r="D35" s="20" t="str">
        <f>D3</f>
        <v>Budget FY 25</v>
      </c>
      <c r="E35" s="20" t="str">
        <f>E3</f>
        <v>Actual FY 25</v>
      </c>
      <c r="F35" s="20" t="str">
        <f>F3</f>
        <v>Actual FY 24</v>
      </c>
      <c r="G35" s="1"/>
      <c r="H35" s="1"/>
    </row>
    <row r="36" spans="2:8" x14ac:dyDescent="0.2">
      <c r="B36" t="s">
        <v>53</v>
      </c>
      <c r="D36" s="20">
        <f>D23</f>
        <v>4124.5</v>
      </c>
      <c r="E36" s="20">
        <f>E23</f>
        <v>9963</v>
      </c>
      <c r="F36" s="20">
        <f>F23</f>
        <v>13757</v>
      </c>
      <c r="G36" s="1"/>
      <c r="H36" s="1"/>
    </row>
    <row r="37" spans="2:8" x14ac:dyDescent="0.2">
      <c r="B37" t="s">
        <v>40</v>
      </c>
      <c r="D37" s="20">
        <f>SUM(D20,D22)</f>
        <v>128406.5</v>
      </c>
      <c r="E37" s="20">
        <f>SUM(E20,E22)</f>
        <v>129629</v>
      </c>
      <c r="F37" s="20">
        <f>SUM(F20,F22)</f>
        <v>122613</v>
      </c>
      <c r="G37" s="1"/>
      <c r="H37" s="1"/>
    </row>
    <row r="38" spans="2:8" x14ac:dyDescent="0.2">
      <c r="B38" t="s">
        <v>47</v>
      </c>
      <c r="D38" s="21">
        <f t="shared" ref="D38:F40" si="4">D29</f>
        <v>3.1121020742316891E-2</v>
      </c>
      <c r="E38" s="21">
        <f t="shared" si="4"/>
        <v>7.1372284944695968E-2</v>
      </c>
      <c r="F38" s="21">
        <f t="shared" si="4"/>
        <v>0.10087995893524969</v>
      </c>
      <c r="G38" s="1"/>
      <c r="H38" s="1"/>
    </row>
    <row r="39" spans="2:8" x14ac:dyDescent="0.2">
      <c r="B39" t="s">
        <v>48</v>
      </c>
      <c r="D39" s="21">
        <f t="shared" si="4"/>
        <v>9.2619839886517123E-3</v>
      </c>
      <c r="E39" s="21">
        <f t="shared" si="4"/>
        <v>9.6782050547309303E-3</v>
      </c>
      <c r="F39" s="21">
        <f t="shared" si="4"/>
        <v>-1.8002493216983207E-2</v>
      </c>
      <c r="G39" s="1"/>
      <c r="H39" s="1"/>
    </row>
    <row r="40" spans="2:8" x14ac:dyDescent="0.2">
      <c r="B40" t="s">
        <v>46</v>
      </c>
      <c r="D40" s="21">
        <f t="shared" si="4"/>
        <v>-9.085546988106856E-2</v>
      </c>
      <c r="E40" s="21">
        <f t="shared" si="4"/>
        <v>-4.3197834136242383E-2</v>
      </c>
      <c r="F40" s="21">
        <f t="shared" si="4"/>
        <v>5.2853102163357112E-2</v>
      </c>
      <c r="G40" s="1"/>
      <c r="H40" s="1"/>
    </row>
    <row r="41" spans="2:8" x14ac:dyDescent="0.2">
      <c r="B41" t="s">
        <v>64</v>
      </c>
      <c r="D41" s="57">
        <f>D37+D36</f>
        <v>132531</v>
      </c>
      <c r="E41" s="57">
        <f t="shared" ref="E41:F41" si="5">E37+E36</f>
        <v>139592</v>
      </c>
      <c r="F41" s="57">
        <f t="shared" si="5"/>
        <v>136370</v>
      </c>
    </row>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427805-9441-9742-BE5E-E722C87DA83D}">
  <dimension ref="A1:G35"/>
  <sheetViews>
    <sheetView showGridLines="0" zoomScale="110" zoomScaleNormal="70" workbookViewId="0"/>
  </sheetViews>
  <sheetFormatPr baseColWidth="10" defaultColWidth="27.1640625" defaultRowHeight="15" x14ac:dyDescent="0.2"/>
  <cols>
    <col min="1" max="1" width="43.83203125" bestFit="1" customWidth="1"/>
    <col min="2" max="2" width="23.5" bestFit="1" customWidth="1"/>
    <col min="3" max="3" width="37.1640625" bestFit="1" customWidth="1"/>
    <col min="4" max="4" width="43.83203125" bestFit="1" customWidth="1"/>
  </cols>
  <sheetData>
    <row r="1" spans="1:6" x14ac:dyDescent="0.2">
      <c r="A1" s="105" t="s">
        <v>67</v>
      </c>
      <c r="B1" s="105"/>
      <c r="C1" s="105"/>
      <c r="D1" s="105"/>
      <c r="E1" s="105"/>
      <c r="F1" s="105"/>
    </row>
    <row r="2" spans="1:6" x14ac:dyDescent="0.2">
      <c r="A2" s="105"/>
      <c r="B2" s="106" t="s">
        <v>47</v>
      </c>
      <c r="C2" s="106" t="s">
        <v>48</v>
      </c>
      <c r="D2" s="106" t="s">
        <v>46</v>
      </c>
      <c r="E2" s="107" t="s">
        <v>65</v>
      </c>
      <c r="F2" s="107" t="s">
        <v>66</v>
      </c>
    </row>
    <row r="3" spans="1:6" x14ac:dyDescent="0.2">
      <c r="A3" s="105" t="s">
        <v>57</v>
      </c>
      <c r="B3" s="110">
        <f>'City of Sydney'!$E$29</f>
        <v>0.14670216367609493</v>
      </c>
      <c r="C3" s="110">
        <f>'City of Sydney'!$E$30</f>
        <v>2.4326516793661542E-2</v>
      </c>
      <c r="D3" s="110">
        <f>'City of Sydney'!$E$31</f>
        <v>0.16540989238107573</v>
      </c>
      <c r="E3" s="108">
        <f>'City of Sydney'!$E$13</f>
        <v>909748</v>
      </c>
      <c r="F3" s="108">
        <f>'City of Sydney'!$E$23</f>
        <v>133462</v>
      </c>
    </row>
    <row r="4" spans="1:6" x14ac:dyDescent="0.2">
      <c r="A4" s="105" t="s">
        <v>58</v>
      </c>
      <c r="B4" s="110">
        <f>'City of Parramatta'!$E$29</f>
        <v>0.12671104999043725</v>
      </c>
      <c r="C4" s="110">
        <f>'City of Parramatta'!$E$30</f>
        <v>-3.0842159907468965E-2</v>
      </c>
      <c r="D4" s="110">
        <f>'City of Parramatta'!$E$31</f>
        <v>0.17841671888810748</v>
      </c>
      <c r="E4" s="108">
        <f>'City of Parramatta'!$E$13</f>
        <v>439204</v>
      </c>
      <c r="F4" s="108">
        <f>'City of Parramatta'!$E$23</f>
        <v>55652</v>
      </c>
    </row>
    <row r="5" spans="1:6" x14ac:dyDescent="0.2">
      <c r="A5" s="105" t="s">
        <v>59</v>
      </c>
      <c r="B5" s="110">
        <f>'Hill Shire Council'!$E$29</f>
        <v>0.47046000608454647</v>
      </c>
      <c r="C5" s="110">
        <f>'Hill Shire Council'!$E$30</f>
        <v>6.9972284172274107E-2</v>
      </c>
      <c r="D5" s="110">
        <f>'Hill Shire Council'!$E$31</f>
        <v>0.53167547642421376</v>
      </c>
      <c r="E5" s="108">
        <f>'Hill Shire Council'!$E$13</f>
        <v>417451</v>
      </c>
      <c r="F5" s="109">
        <f>'Hill Shire Council'!$E$22</f>
        <v>30232</v>
      </c>
    </row>
    <row r="6" spans="1:6" x14ac:dyDescent="0.2">
      <c r="A6" s="105" t="s">
        <v>60</v>
      </c>
      <c r="B6" s="110">
        <f>'Hornsby Council'!$E$29</f>
        <v>0.27768622207612798</v>
      </c>
      <c r="C6" s="110">
        <f>'Hornsby Council'!$E$30</f>
        <v>9.1364199697051812E-2</v>
      </c>
      <c r="D6" s="110">
        <f>'Hornsby Council'!$E$31</f>
        <v>0.33967344629343355</v>
      </c>
      <c r="E6" s="108">
        <f>'Hornsby Council'!$E$13</f>
        <v>225121</v>
      </c>
      <c r="F6" s="109">
        <f>'Hornsby Council'!$E$23</f>
        <v>62513</v>
      </c>
    </row>
    <row r="7" spans="1:6" x14ac:dyDescent="0.2">
      <c r="A7" s="105" t="s">
        <v>61</v>
      </c>
      <c r="B7" s="110">
        <f>'North Sydney Council'!$E$29</f>
        <v>9.8182171044119554E-2</v>
      </c>
      <c r="C7" s="110">
        <f>'North Sydney Council'!$E$30</f>
        <v>8.2028722991331349E-3</v>
      </c>
      <c r="D7" s="110">
        <f>'North Sydney Council'!$E$31</f>
        <v>0.22188630810626914</v>
      </c>
      <c r="E7" s="108">
        <f>'North Sydney Council'!$E$13</f>
        <v>154580</v>
      </c>
      <c r="F7" s="109">
        <f>'North Sydney Council'!$E$23</f>
        <v>15177</v>
      </c>
    </row>
    <row r="8" spans="1:6" x14ac:dyDescent="0.2">
      <c r="A8" s="105" t="s">
        <v>62</v>
      </c>
      <c r="B8" s="110">
        <f>'Woollahra Council'!$E$29</f>
        <v>7.1372284944695968E-2</v>
      </c>
      <c r="C8" s="110">
        <f>'Woollahra Council'!$E$30</f>
        <v>9.6782050547309303E-3</v>
      </c>
      <c r="D8" s="110">
        <f>'Woollahra Council'!$E$31</f>
        <v>-4.3197834136242383E-2</v>
      </c>
      <c r="E8" s="108">
        <f>'Woollahra Council'!$E$13</f>
        <v>139592</v>
      </c>
      <c r="F8" s="109">
        <f>'Woollahra Council'!$E$23</f>
        <v>9963</v>
      </c>
    </row>
    <row r="9" spans="1:6" x14ac:dyDescent="0.2">
      <c r="A9" s="105"/>
      <c r="B9" s="105"/>
      <c r="C9" s="105"/>
      <c r="D9" s="105"/>
      <c r="E9" s="105"/>
      <c r="F9" s="105"/>
    </row>
    <row r="10" spans="1:6" x14ac:dyDescent="0.2">
      <c r="A10" s="105" t="s">
        <v>68</v>
      </c>
      <c r="B10" s="105"/>
      <c r="C10" s="105"/>
      <c r="D10" s="105"/>
      <c r="E10" s="105"/>
      <c r="F10" s="105"/>
    </row>
    <row r="11" spans="1:6" x14ac:dyDescent="0.2">
      <c r="A11" s="105"/>
      <c r="B11" s="106" t="s">
        <v>47</v>
      </c>
      <c r="C11" s="106" t="s">
        <v>48</v>
      </c>
      <c r="D11" s="106" t="s">
        <v>46</v>
      </c>
      <c r="E11" s="107" t="s">
        <v>65</v>
      </c>
      <c r="F11" s="107" t="s">
        <v>66</v>
      </c>
    </row>
    <row r="12" spans="1:6" x14ac:dyDescent="0.2">
      <c r="A12" s="105" t="s">
        <v>57</v>
      </c>
      <c r="B12" s="110">
        <f>'City of Sydney'!$F$29</f>
        <v>0.16535301041721395</v>
      </c>
      <c r="C12" s="110">
        <f>'City of Sydney'!$F$30</f>
        <v>3.3627066200002907E-2</v>
      </c>
      <c r="D12" s="110">
        <f>'City of Sydney'!$F$31</f>
        <v>0.17141064982858359</v>
      </c>
      <c r="E12" s="108">
        <f>'City of Sydney'!$F$13</f>
        <v>894577</v>
      </c>
      <c r="F12" s="108">
        <f>'City of Sydney'!$F$23</f>
        <v>147921</v>
      </c>
    </row>
    <row r="13" spans="1:6" x14ac:dyDescent="0.2">
      <c r="A13" s="105" t="s">
        <v>58</v>
      </c>
      <c r="B13" s="110">
        <f>'City of Parramatta'!$F$29</f>
        <v>0.18769207292518852</v>
      </c>
      <c r="C13" s="110">
        <f>'City of Parramatta'!$F$30</f>
        <v>6.5926845913535925E-2</v>
      </c>
      <c r="D13" s="110">
        <f>'City of Parramatta'!$F$31</f>
        <v>0.1408714906045109</v>
      </c>
      <c r="E13" s="108">
        <f>'City of Parramatta'!$F$13</f>
        <v>471826</v>
      </c>
      <c r="F13" s="108">
        <f>'City of Parramatta'!$F$23</f>
        <v>88558</v>
      </c>
    </row>
    <row r="14" spans="1:6" x14ac:dyDescent="0.2">
      <c r="A14" s="105" t="s">
        <v>59</v>
      </c>
      <c r="B14" s="110">
        <f>'Hill Shire Council'!$F$29</f>
        <v>0.42169014011051337</v>
      </c>
      <c r="C14" s="110">
        <f>'Hill Shire Council'!$F$30</f>
        <v>1.8485825968817392E-2</v>
      </c>
      <c r="D14" s="110">
        <f>'Hill Shire Council'!$F$31</f>
        <v>0.54624529106546305</v>
      </c>
      <c r="E14" s="108">
        <f>'Hill Shire Council'!$F$13</f>
        <v>383483</v>
      </c>
      <c r="F14" s="109">
        <f>'Hill Shire Council'!$F$22</f>
        <v>26904</v>
      </c>
    </row>
    <row r="15" spans="1:6" x14ac:dyDescent="0.2">
      <c r="A15" s="105" t="s">
        <v>60</v>
      </c>
      <c r="B15" s="110">
        <f>'Hornsby Council'!$F$29</f>
        <v>-0.19612334678323246</v>
      </c>
      <c r="C15" s="110">
        <f>'Hornsby Council'!$F$30</f>
        <v>-4.0587872674288275E-2</v>
      </c>
      <c r="D15" s="110">
        <f>'Hornsby Council'!$F$31</f>
        <v>-0.13691966222756249</v>
      </c>
      <c r="E15" s="108">
        <f>'Hornsby Council'!$F$13</f>
        <v>142752</v>
      </c>
      <c r="F15" s="109">
        <f>'Hornsby Council'!$F$23</f>
        <v>-27997</v>
      </c>
    </row>
    <row r="16" spans="1:6" x14ac:dyDescent="0.2">
      <c r="A16" s="105" t="s">
        <v>61</v>
      </c>
      <c r="B16" s="110">
        <f>'North Sydney Council'!$F$29</f>
        <v>8.6069221994368866E-2</v>
      </c>
      <c r="C16" s="110">
        <f>'North Sydney Council'!$F$30</f>
        <v>-2.3981748287253472E-2</v>
      </c>
      <c r="D16" s="110">
        <f>'North Sydney Council'!$F$31</f>
        <v>0.22753319572383623</v>
      </c>
      <c r="E16" s="108">
        <f>'North Sydney Council'!$F$13</f>
        <v>151657</v>
      </c>
      <c r="F16" s="109">
        <f>'North Sydney Council'!$F$23</f>
        <v>13053</v>
      </c>
    </row>
    <row r="17" spans="1:7" x14ac:dyDescent="0.2">
      <c r="A17" s="105" t="s">
        <v>62</v>
      </c>
      <c r="B17" s="110">
        <f>'Woollahra Council'!$F$29</f>
        <v>0.10087995893524969</v>
      </c>
      <c r="C17" s="110">
        <f>'Woollahra Council'!$F$30</f>
        <v>-1.8002493216983207E-2</v>
      </c>
      <c r="D17" s="110">
        <f>'Woollahra Council'!$F$31</f>
        <v>5.2853102163357112E-2</v>
      </c>
      <c r="E17" s="108">
        <f>'Woollahra Council'!$F$13</f>
        <v>136370</v>
      </c>
      <c r="F17" s="109">
        <f>'Woollahra Council'!$F$23</f>
        <v>13757</v>
      </c>
    </row>
    <row r="27" spans="1:7" x14ac:dyDescent="0.2">
      <c r="A27" s="62"/>
      <c r="B27" s="104"/>
      <c r="C27" s="104"/>
      <c r="D27" s="104"/>
      <c r="E27" s="104"/>
      <c r="F27" s="104"/>
      <c r="G27" s="104"/>
    </row>
    <row r="28" spans="1:7" x14ac:dyDescent="0.2">
      <c r="A28" s="62"/>
      <c r="B28" s="104"/>
      <c r="C28" s="104"/>
      <c r="D28" s="104"/>
      <c r="E28" s="104"/>
      <c r="F28" s="104"/>
      <c r="G28" s="104"/>
    </row>
    <row r="29" spans="1:7" x14ac:dyDescent="0.2">
      <c r="A29" s="62"/>
      <c r="B29" s="104"/>
      <c r="C29" s="104"/>
      <c r="D29" s="104"/>
      <c r="E29" s="104"/>
      <c r="F29" s="104"/>
      <c r="G29" s="104"/>
    </row>
    <row r="33" spans="1:7" x14ac:dyDescent="0.2">
      <c r="A33" s="62"/>
      <c r="B33" s="104"/>
      <c r="C33" s="104"/>
      <c r="D33" s="104"/>
      <c r="E33" s="104"/>
      <c r="F33" s="104"/>
      <c r="G33" s="104"/>
    </row>
    <row r="34" spans="1:7" x14ac:dyDescent="0.2">
      <c r="A34" s="62"/>
      <c r="B34" s="104"/>
      <c r="C34" s="104"/>
      <c r="D34" s="104"/>
      <c r="E34" s="104"/>
      <c r="F34" s="104"/>
      <c r="G34" s="104"/>
    </row>
    <row r="35" spans="1:7" x14ac:dyDescent="0.2">
      <c r="A35" s="62"/>
      <c r="B35" s="104"/>
      <c r="C35" s="104"/>
      <c r="D35" s="104"/>
      <c r="E35" s="104"/>
      <c r="F35" s="104"/>
      <c r="G35" s="104"/>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3CDA218-7741-4706-812E-352F24C484F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9</vt:i4>
      </vt:variant>
    </vt:vector>
  </HeadingPairs>
  <TitlesOfParts>
    <vt:vector size="9" baseType="lpstr">
      <vt:lpstr>Map</vt:lpstr>
      <vt:lpstr>Consolidated data</vt:lpstr>
      <vt:lpstr>City of Sydney</vt:lpstr>
      <vt:lpstr>City of Parramatta</vt:lpstr>
      <vt:lpstr>Hill Shire Council</vt:lpstr>
      <vt:lpstr>Hornsby Council</vt:lpstr>
      <vt:lpstr>North Sydney Council</vt:lpstr>
      <vt:lpstr>Woollahra Council</vt:lpstr>
      <vt:lpstr>Comparitive data (KPIs)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Jaikishan Tilwani (Nokia)</dc:creator>
  <cp:lastModifiedBy>Vishwas Tilwani</cp:lastModifiedBy>
  <dcterms:created xsi:type="dcterms:W3CDTF">2025-11-16T12:55:19Z</dcterms:created>
  <dcterms:modified xsi:type="dcterms:W3CDTF">2025-12-01T12:56:37Z</dcterms:modified>
</cp:coreProperties>
</file>